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5 (5.8x8.3)" sheetId="1" state="visible" r:id="rId3"/>
    <sheet name="Standard (6.625x10.25)" sheetId="2" state="visible" r:id="rId4"/>
    <sheet name="Magazine (8x10.5)" sheetId="3" state="visible" r:id="rId5"/>
    <sheet name="Letter (8.5x11)" sheetId="4" state="visible" r:id="rId6"/>
    <sheet name="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<sst xmlns="http://schemas.openxmlformats.org/spreadsheetml/2006/main" count="429" uniqueCount="116">
  <si>
    <t xml:space="preserve">Comix Wellspring A5 Size (5.8" x 8.3") - Discount Log</t>
  </si>
  <si>
    <t xml:space="preserve">Source: comixwellspring.com/products/comic-a5-size</t>
  </si>
  <si>
    <t xml:space="preserve">Cap: 75% off at 1000+ (confirmed at 1000/1500/2000/2500/5000). Change list price in B5 to recalc.</t>
  </si>
  <si>
    <t xml:space="preserve">List Price / Book:</t>
  </si>
  <si>
    <t xml:space="preserve">(site base list: $3.60)</t>
  </si>
  <si>
    <t xml:space="preserve">Quantity</t>
  </si>
  <si>
    <t xml:space="preserve">Discount %</t>
  </si>
  <si>
    <t xml:space="preserve">List Price / Book</t>
  </si>
  <si>
    <t xml:space="preserve">Discounted Price / Book</t>
  </si>
  <si>
    <t xml:space="preserve">Subtotal (List)</t>
  </si>
  <si>
    <t xml:space="preserve">Total After Discount</t>
  </si>
  <si>
    <t xml:space="preserve">Total Savings</t>
  </si>
  <si>
    <t xml:space="preserve">Savings per Book</t>
  </si>
  <si>
    <t xml:space="preserve">Notes</t>
  </si>
  <si>
    <t xml:space="preserve">Analysis</t>
  </si>
  <si>
    <t xml:space="preserve">Site</t>
  </si>
  <si>
    <t xml:space="preserve">Max discount (cap)</t>
  </si>
  <si>
    <t xml:space="preserve">Cheapest per book</t>
  </si>
  <si>
    <t xml:space="preserve">Total at max qty</t>
  </si>
  <si>
    <t xml:space="preserve">Savings at max qty</t>
  </si>
  <si>
    <t xml:space="preserve">Confirmed - screenshot</t>
  </si>
  <si>
    <t xml:space="preserve">Site - cap reached</t>
  </si>
  <si>
    <t xml:space="preserve">Cover Upgrades - Per-Book Add-On (discounted along with base)</t>
  </si>
  <si>
    <t xml:space="preserve">Pick a cover and a quantity below; calculator shows final per-book and total. Upgrade price adds to list, then quantity discount applies to the combined amount.</t>
  </si>
  <si>
    <t xml:space="preserve">Cover Option</t>
  </si>
  <si>
    <t xml:space="preserve">Upgrade $/book</t>
  </si>
  <si>
    <t xml:space="preserve">Paper Stock</t>
  </si>
  <si>
    <t xml:space="preserve">Self Cover</t>
  </si>
  <si>
    <t xml:space="preserve">Same as Interior Selection</t>
  </si>
  <si>
    <t xml:space="preserve">Standard Matte</t>
  </si>
  <si>
    <t xml:space="preserve">80lb Uncoated Cover</t>
  </si>
  <si>
    <t xml:space="preserve">Standard Semi-Gloss</t>
  </si>
  <si>
    <t xml:space="preserve">80lb Silk Cover</t>
  </si>
  <si>
    <t xml:space="preserve">Standard Gloss</t>
  </si>
  <si>
    <t xml:space="preserve">80lb Coated Cover</t>
  </si>
  <si>
    <t xml:space="preserve">Deluxe Gloss</t>
  </si>
  <si>
    <t xml:space="preserve">100lb Gloss Cover</t>
  </si>
  <si>
    <t xml:space="preserve">Premium Gloss</t>
  </si>
  <si>
    <t xml:space="preserve">12pt Gloss Card Stock</t>
  </si>
  <si>
    <t xml:space="preserve">Holo-Chrome</t>
  </si>
  <si>
    <t xml:space="preserve">12pt Holo-Chrome Card Stock</t>
  </si>
  <si>
    <t xml:space="preserve">Lamination Embellishment</t>
  </si>
  <si>
    <t xml:space="preserve">Lamination Style</t>
  </si>
  <si>
    <t xml:space="preserve">$/book</t>
  </si>
  <si>
    <t xml:space="preserve">None</t>
  </si>
  <si>
    <t xml:space="preserve">Gloss</t>
  </si>
  <si>
    <t xml:space="preserve">Matte</t>
  </si>
  <si>
    <t xml:space="preserve">UV Embellishment</t>
  </si>
  <si>
    <t xml:space="preserve">UV Style</t>
  </si>
  <si>
    <t xml:space="preserve">UV Coat</t>
  </si>
  <si>
    <t xml:space="preserve">Spot UV</t>
  </si>
  <si>
    <t xml:space="preserve">Foil Cover Embellishment</t>
  </si>
  <si>
    <t xml:space="preserve">Foil Color</t>
  </si>
  <si>
    <t xml:space="preserve">Iridescent Silver</t>
  </si>
  <si>
    <t xml:space="preserve">Gold</t>
  </si>
  <si>
    <t xml:space="preserve">Copper</t>
  </si>
  <si>
    <t xml:space="preserve">Blue</t>
  </si>
  <si>
    <t xml:space="preserve">Red</t>
  </si>
  <si>
    <t xml:space="preserve">Quick Calculator</t>
  </si>
  <si>
    <t xml:space="preserve">Pick options below (use 'None' to skip an embellishment). All upgrades add to list price, then full quantity discount applies.</t>
  </si>
  <si>
    <t xml:space="preserve">Cover option:</t>
  </si>
  <si>
    <t xml:space="preserve">Lamination:</t>
  </si>
  <si>
    <t xml:space="preserve">UV:</t>
  </si>
  <si>
    <t xml:space="preserve">Foil:</t>
  </si>
  <si>
    <t xml:space="preserve">Quantity:</t>
  </si>
  <si>
    <t xml:space="preserve">Base list price/book</t>
  </si>
  <si>
    <t xml:space="preserve">Cover upgrade $/book</t>
  </si>
  <si>
    <t xml:space="preserve">Lamination $/book</t>
  </si>
  <si>
    <t xml:space="preserve">UV $/book</t>
  </si>
  <si>
    <t xml:space="preserve">Foil $/book</t>
  </si>
  <si>
    <t xml:space="preserve">Combined list $/book</t>
  </si>
  <si>
    <t xml:space="preserve">Discount applied</t>
  </si>
  <si>
    <t xml:space="preserve">Final $/book</t>
  </si>
  <si>
    <t xml:space="preserve">Total order</t>
  </si>
  <si>
    <t xml:space="preserve">Pages - Grayscale Uncoated</t>
  </si>
  <si>
    <t xml:space="preserve">Pages - Grayscale Semi Gloss</t>
  </si>
  <si>
    <t xml:space="preserve">Pages - Grayscale Gloss</t>
  </si>
  <si>
    <t xml:space="preserve">8 pages baseline. Each +4 pages adds $0.14.</t>
  </si>
  <si>
    <t xml:space="preserve">8 pages baseline. Each +4 pages adds $0.15.</t>
  </si>
  <si>
    <t xml:space="preserve">Interior Pages</t>
  </si>
  <si>
    <t xml:space="preserve">Pages - Full Color Uncoated</t>
  </si>
  <si>
    <t xml:space="preserve">Pages - Full Color Semi Gloss</t>
  </si>
  <si>
    <t xml:space="preserve">Pages - Full Color Gloss</t>
  </si>
  <si>
    <t xml:space="preserve">8 pages baseline. Each +4 pages adds $0.19.</t>
  </si>
  <si>
    <t xml:space="preserve">8 pages baseline. Each +4 pages adds $0.20.</t>
  </si>
  <si>
    <t xml:space="preserve">Comix Wellspring Standard Size (6.625" x 10.25") - Discount Log</t>
  </si>
  <si>
    <t xml:space="preserve">Source: comixwellspring.com/products/comic-standard-size</t>
  </si>
  <si>
    <t xml:space="preserve">Max published discount: 66.9% at 1000. Change list price in B5 to recalc.</t>
  </si>
  <si>
    <t xml:space="preserve">(site base list: $5.36)</t>
  </si>
  <si>
    <t xml:space="preserve">Pick a cover and a quantity in the calculator below. Upgrade price adds to list, then quantity discount applies to the combined amount.</t>
  </si>
  <si>
    <t xml:space="preserve">8 pages baseline. Each +4 pages adds $0.17.</t>
  </si>
  <si>
    <t xml:space="preserve">8 pages baseline. Each +4 pages adds $0.18.</t>
  </si>
  <si>
    <t xml:space="preserve">8 pages baseline. Each +4 pages adds $0.26.</t>
  </si>
  <si>
    <t xml:space="preserve">8 pages baseline. Each +4 pages adds $0.28.</t>
  </si>
  <si>
    <t xml:space="preserve">Comix Wellspring Magazine Size (8" x 10.5") - Discount Log</t>
  </si>
  <si>
    <t xml:space="preserve">Source: comixwellspring.com/products/comic-magazine-size</t>
  </si>
  <si>
    <t xml:space="preserve">Max published discount: 66.0% at 1000. Change list price in B5 to recalc.</t>
  </si>
  <si>
    <t xml:space="preserve">(site base list: $5.59)</t>
  </si>
  <si>
    <t xml:space="preserve">Comix Wellspring Letter Size (8.5" x 11") - Discount Log</t>
  </si>
  <si>
    <t xml:space="preserve">Source: comixwellspring.com/products/comics-letter-size</t>
  </si>
  <si>
    <t xml:space="preserve">Max published discount: 66.0% at 1000. Same discount curve as Magazine. Change list price in B5 to recalc.</t>
  </si>
  <si>
    <t xml:space="preserve">All Sizes - Side by Side</t>
  </si>
  <si>
    <t xml:space="preserve">Pulls live from each size tab - edit list prices there to see impact here. Green = per-book $, black = discount %.</t>
  </si>
  <si>
    <t xml:space="preserve">Qty</t>
  </si>
  <si>
    <t xml:space="preserve">A5</t>
  </si>
  <si>
    <t xml:space="preserve">Standard</t>
  </si>
  <si>
    <t xml:space="preserve">Magazine</t>
  </si>
  <si>
    <t xml:space="preserve">Letter</t>
  </si>
  <si>
    <t xml:space="preserve">Disc %</t>
  </si>
  <si>
    <t xml:space="preserve">Total</t>
  </si>
  <si>
    <t xml:space="preserve">Observations</t>
  </si>
  <si>
    <t xml:space="preserve">- Magazine and Letter share the SAME discount curve and base price ($5.59) - they're priced identically.</t>
  </si>
  <si>
    <t xml:space="preserve">- A5 has the best discount cap (75%) and the lowest base price ($3.60) - cheapest by far at scale.</t>
  </si>
  <si>
    <t xml:space="preserve">- Standard falls between A5 and Magazine/Letter on discounts (66.9% max).</t>
  </si>
  <si>
    <t xml:space="preserve">- Quantity break-points are identical across all four products: 1, 2, 5, 20, 25, 50, 75, 100, 250, 300, 500, 750, 1000.</t>
  </si>
  <si>
    <t xml:space="preserve">- At 1000 copies: A5 = $1.02/book, Standard = $1.77/book, Magazine/Letter = $1.90/book.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</si>
</sst>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%"/>
    <numFmt numFmtId="168" formatCode="\$#,##0.00;&quot;($&quot;#,##0.00\);\-"/>
    <numFmt numFmtId="169" formatCode="0"/>
    <numFmt numFmtId="170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5" min="3" style="1" width="16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5" t="n">
        <v>4.07</v>
      </c>
      <c r="C5" s="3" t="s">
        <v>4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K7" s="7" t="s">
        <v>14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4.07</v>
      </c>
      <c r="D8" s="10" t="n">
        <f aca="false">C8*(1-B8)</f>
        <v>4.07</v>
      </c>
      <c r="E8" s="11" t="n">
        <f aca="false">A8*C8</f>
        <v>4.07</v>
      </c>
      <c r="F8" s="11" t="n">
        <f aca="false">A8*D8</f>
        <v>4.07</v>
      </c>
      <c r="G8" s="11" t="n">
        <f aca="false">E8-F8</f>
        <v>0</v>
      </c>
      <c r="H8" s="10" t="n">
        <f aca="false">C8-D8</f>
        <v>0</v>
      </c>
      <c r="I8" s="12" t="s">
        <v>15</v>
      </c>
      <c r="K8" s="13" t="s">
        <v>16</v>
      </c>
      <c r="L8" s="14" t="n">
        <f aca="false">MAX(B8:B20)</f>
        <v>0.75</v>
      </c>
    </row>
    <row r="9" customFormat="false" ht="15" hidden="false" customHeight="true" outlineLevel="0" collapsed="false">
      <c r="A9" s="8" t="n">
        <v>2</v>
      </c>
      <c r="B9" s="9" t="n">
        <v>0.091</v>
      </c>
      <c r="C9" s="10" t="n">
        <f aca="false">$B$5</f>
        <v>4.07</v>
      </c>
      <c r="D9" s="10" t="n">
        <f aca="false">C9*(1-B9)</f>
        <v>3.69963</v>
      </c>
      <c r="E9" s="11" t="n">
        <f aca="false">A9*C9</f>
        <v>8.14</v>
      </c>
      <c r="F9" s="11" t="n">
        <f aca="false">A9*D9</f>
        <v>7.39926</v>
      </c>
      <c r="G9" s="11" t="n">
        <f aca="false">E9-F9</f>
        <v>0.74074</v>
      </c>
      <c r="H9" s="10" t="n">
        <f aca="false">C9-D9</f>
        <v>0.37037</v>
      </c>
      <c r="I9" s="12" t="s">
        <v>15</v>
      </c>
      <c r="K9" s="13" t="s">
        <v>17</v>
      </c>
      <c r="L9" s="15" t="n">
        <f aca="false">MIN(D8:D20)</f>
        <v>1.0175</v>
      </c>
    </row>
    <row r="10" customFormat="false" ht="15" hidden="false" customHeight="true" outlineLevel="0" collapsed="false">
      <c r="A10" s="8" t="n">
        <v>5</v>
      </c>
      <c r="B10" s="9" t="n">
        <v>0.13</v>
      </c>
      <c r="C10" s="10" t="n">
        <f aca="false">$B$5</f>
        <v>4.07</v>
      </c>
      <c r="D10" s="10" t="n">
        <f aca="false">C10*(1-B10)</f>
        <v>3.5409</v>
      </c>
      <c r="E10" s="11" t="n">
        <f aca="false">A10*C10</f>
        <v>20.35</v>
      </c>
      <c r="F10" s="11" t="n">
        <f aca="false">A10*D10</f>
        <v>17.7045</v>
      </c>
      <c r="G10" s="11" t="n">
        <f aca="false">E10-F10</f>
        <v>2.6455</v>
      </c>
      <c r="H10" s="10" t="n">
        <f aca="false">C10-D10</f>
        <v>0.5291</v>
      </c>
      <c r="I10" s="12" t="s">
        <v>15</v>
      </c>
      <c r="K10" s="13" t="s">
        <v>18</v>
      </c>
      <c r="L10" s="15" t="n">
        <f aca="false">F20</f>
        <v>1017.5</v>
      </c>
    </row>
    <row r="11" customFormat="false" ht="15" hidden="false" customHeight="true" outlineLevel="0" collapsed="false">
      <c r="A11" s="8" t="n">
        <v>20</v>
      </c>
      <c r="B11" s="9" t="n">
        <v>0.28</v>
      </c>
      <c r="C11" s="10" t="n">
        <f aca="false">$B$5</f>
        <v>4.07</v>
      </c>
      <c r="D11" s="10" t="n">
        <f aca="false">C11*(1-B11)</f>
        <v>2.9304</v>
      </c>
      <c r="E11" s="11" t="n">
        <f aca="false">A11*C11</f>
        <v>81.4</v>
      </c>
      <c r="F11" s="11" t="n">
        <f aca="false">A11*D11</f>
        <v>58.608</v>
      </c>
      <c r="G11" s="11" t="n">
        <f aca="false">E11-F11</f>
        <v>22.792</v>
      </c>
      <c r="H11" s="10" t="n">
        <f aca="false">C11-D11</f>
        <v>1.1396</v>
      </c>
      <c r="I11" s="12" t="s">
        <v>15</v>
      </c>
      <c r="K11" s="13" t="s">
        <v>19</v>
      </c>
      <c r="L11" s="15" t="n">
        <f aca="false">G20</f>
        <v>3052.5</v>
      </c>
    </row>
    <row r="12" customFormat="false" ht="15" hidden="false" customHeight="true" outlineLevel="0" collapsed="false">
      <c r="A12" s="8" t="n">
        <v>25</v>
      </c>
      <c r="B12" s="9" t="n">
        <v>0.357</v>
      </c>
      <c r="C12" s="10" t="n">
        <f aca="false">$B$5</f>
        <v>4.07</v>
      </c>
      <c r="D12" s="10" t="n">
        <f aca="false">C12*(1-B12)</f>
        <v>2.61701</v>
      </c>
      <c r="E12" s="11" t="n">
        <f aca="false">A12*C12</f>
        <v>101.75</v>
      </c>
      <c r="F12" s="11" t="n">
        <f aca="false">A12*D12</f>
        <v>65.42525</v>
      </c>
      <c r="G12" s="11" t="n">
        <f aca="false">E12-F12</f>
        <v>36.32475</v>
      </c>
      <c r="H12" s="10" t="n">
        <f aca="false">C12-D12</f>
        <v>1.45299</v>
      </c>
      <c r="I12" s="12" t="s">
        <v>15</v>
      </c>
    </row>
    <row r="13" customFormat="false" ht="15" hidden="false" customHeight="true" outlineLevel="0" collapsed="false">
      <c r="A13" s="8" t="n">
        <v>50</v>
      </c>
      <c r="B13" s="9" t="n">
        <v>0.433</v>
      </c>
      <c r="C13" s="10" t="n">
        <f aca="false">$B$5</f>
        <v>4.07</v>
      </c>
      <c r="D13" s="10" t="n">
        <f aca="false">C13*(1-B13)</f>
        <v>2.30769</v>
      </c>
      <c r="E13" s="11" t="n">
        <f aca="false">A13*C13</f>
        <v>203.5</v>
      </c>
      <c r="F13" s="11" t="n">
        <f aca="false">A13*D13</f>
        <v>115.3845</v>
      </c>
      <c r="G13" s="11" t="n">
        <f aca="false">E13-F13</f>
        <v>88.1155</v>
      </c>
      <c r="H13" s="10" t="n">
        <f aca="false">C13-D13</f>
        <v>1.76231</v>
      </c>
      <c r="I13" s="12" t="s">
        <v>15</v>
      </c>
    </row>
    <row r="14" customFormat="false" ht="15" hidden="false" customHeight="true" outlineLevel="0" collapsed="false">
      <c r="A14" s="8" t="n">
        <v>75</v>
      </c>
      <c r="B14" s="9" t="n">
        <v>0.469</v>
      </c>
      <c r="C14" s="10" t="n">
        <f aca="false">$B$5</f>
        <v>4.07</v>
      </c>
      <c r="D14" s="10" t="n">
        <f aca="false">C14*(1-B14)</f>
        <v>2.16117</v>
      </c>
      <c r="E14" s="11" t="n">
        <f aca="false">A14*C14</f>
        <v>305.25</v>
      </c>
      <c r="F14" s="11" t="n">
        <f aca="false">A14*D14</f>
        <v>162.08775</v>
      </c>
      <c r="G14" s="11" t="n">
        <f aca="false">E14-F14</f>
        <v>143.16225</v>
      </c>
      <c r="H14" s="10" t="n">
        <f aca="false">C14-D14</f>
        <v>1.90883</v>
      </c>
      <c r="I14" s="12" t="s">
        <v>15</v>
      </c>
    </row>
    <row r="15" customFormat="false" ht="15" hidden="false" customHeight="true" outlineLevel="0" collapsed="false">
      <c r="A15" s="8" t="n">
        <v>100</v>
      </c>
      <c r="B15" s="9" t="n">
        <v>0.541</v>
      </c>
      <c r="C15" s="10" t="n">
        <f aca="false">$B$5</f>
        <v>4.07</v>
      </c>
      <c r="D15" s="10" t="n">
        <f aca="false">C15*(1-B15)</f>
        <v>1.86813</v>
      </c>
      <c r="E15" s="11" t="n">
        <f aca="false">A15*C15</f>
        <v>407</v>
      </c>
      <c r="F15" s="11" t="n">
        <f aca="false">A15*D15</f>
        <v>186.813</v>
      </c>
      <c r="G15" s="11" t="n">
        <f aca="false">E15-F15</f>
        <v>220.187</v>
      </c>
      <c r="H15" s="10" t="n">
        <f aca="false">C15-D15</f>
        <v>2.20187</v>
      </c>
      <c r="I15" s="12" t="s">
        <v>20</v>
      </c>
    </row>
    <row r="16" customFormat="false" ht="15" hidden="false" customHeight="true" outlineLevel="0" collapsed="false">
      <c r="A16" s="8" t="n">
        <v>250</v>
      </c>
      <c r="B16" s="9" t="n">
        <v>0.619</v>
      </c>
      <c r="C16" s="10" t="n">
        <f aca="false">$B$5</f>
        <v>4.07</v>
      </c>
      <c r="D16" s="10" t="n">
        <f aca="false">C16*(1-B16)</f>
        <v>1.55067</v>
      </c>
      <c r="E16" s="11" t="n">
        <f aca="false">A16*C16</f>
        <v>1017.5</v>
      </c>
      <c r="F16" s="11" t="n">
        <f aca="false">A16*D16</f>
        <v>387.6675</v>
      </c>
      <c r="G16" s="11" t="n">
        <f aca="false">E16-F16</f>
        <v>629.8325</v>
      </c>
      <c r="H16" s="10" t="n">
        <f aca="false">C16-D16</f>
        <v>2.51933</v>
      </c>
      <c r="I16" s="12" t="s">
        <v>15</v>
      </c>
    </row>
    <row r="17" customFormat="false" ht="15" hidden="false" customHeight="true" outlineLevel="0" collapsed="false">
      <c r="A17" s="8" t="n">
        <v>300</v>
      </c>
      <c r="B17" s="9" t="n">
        <v>0.66</v>
      </c>
      <c r="C17" s="10" t="n">
        <f aca="false">$B$5</f>
        <v>4.07</v>
      </c>
      <c r="D17" s="10" t="n">
        <f aca="false">C17*(1-B17)</f>
        <v>1.3838</v>
      </c>
      <c r="E17" s="11" t="n">
        <f aca="false">A17*C17</f>
        <v>1221</v>
      </c>
      <c r="F17" s="11" t="n">
        <f aca="false">A17*D17</f>
        <v>415.14</v>
      </c>
      <c r="G17" s="11" t="n">
        <f aca="false">E17-F17</f>
        <v>805.86</v>
      </c>
      <c r="H17" s="10" t="n">
        <f aca="false">C17-D17</f>
        <v>2.6862</v>
      </c>
      <c r="I17" s="12" t="s">
        <v>15</v>
      </c>
    </row>
    <row r="18" customFormat="false" ht="15" hidden="false" customHeight="true" outlineLevel="0" collapsed="false">
      <c r="A18" s="8" t="n">
        <v>500</v>
      </c>
      <c r="B18" s="9" t="n">
        <v>0.688</v>
      </c>
      <c r="C18" s="10" t="n">
        <f aca="false">$B$5</f>
        <v>4.07</v>
      </c>
      <c r="D18" s="10" t="n">
        <f aca="false">C18*(1-B18)</f>
        <v>1.26984</v>
      </c>
      <c r="E18" s="11" t="n">
        <f aca="false">A18*C18</f>
        <v>2035</v>
      </c>
      <c r="F18" s="11" t="n">
        <f aca="false">A18*D18</f>
        <v>634.92</v>
      </c>
      <c r="G18" s="11" t="n">
        <f aca="false">E18-F18</f>
        <v>1400.08</v>
      </c>
      <c r="H18" s="10" t="n">
        <f aca="false">C18-D18</f>
        <v>2.80016</v>
      </c>
      <c r="I18" s="12" t="s">
        <v>15</v>
      </c>
    </row>
    <row r="19" customFormat="false" ht="15" hidden="false" customHeight="true" outlineLevel="0" collapsed="false">
      <c r="A19" s="8" t="n">
        <v>750</v>
      </c>
      <c r="B19" s="9" t="n">
        <v>0.711</v>
      </c>
      <c r="C19" s="10" t="n">
        <f aca="false">$B$5</f>
        <v>4.07</v>
      </c>
      <c r="D19" s="10" t="n">
        <f aca="false">C19*(1-B19)</f>
        <v>1.17623</v>
      </c>
      <c r="E19" s="11" t="n">
        <f aca="false">A19*C19</f>
        <v>3052.5</v>
      </c>
      <c r="F19" s="11" t="n">
        <f aca="false">A19*D19</f>
        <v>882.1725</v>
      </c>
      <c r="G19" s="11" t="n">
        <f aca="false">E19-F19</f>
        <v>2170.3275</v>
      </c>
      <c r="H19" s="10" t="n">
        <f aca="false">C19-D19</f>
        <v>2.89377</v>
      </c>
      <c r="I19" s="12" t="s">
        <v>15</v>
      </c>
    </row>
    <row r="20" customFormat="false" ht="15" hidden="false" customHeight="true" outlineLevel="0" collapsed="false">
      <c r="A20" s="8" t="n">
        <v>1000</v>
      </c>
      <c r="B20" s="9" t="n">
        <v>0.75</v>
      </c>
      <c r="C20" s="10" t="n">
        <f aca="false">$B$5</f>
        <v>4.07</v>
      </c>
      <c r="D20" s="10" t="n">
        <f aca="false">C20*(1-B20)</f>
        <v>1.0175</v>
      </c>
      <c r="E20" s="11" t="n">
        <f aca="false">A20*C20</f>
        <v>4070</v>
      </c>
      <c r="F20" s="11" t="n">
        <f aca="false">A20*D20</f>
        <v>1017.5</v>
      </c>
      <c r="G20" s="11" t="n">
        <f aca="false">E20-F20</f>
        <v>3052.5</v>
      </c>
      <c r="H20" s="10" t="n">
        <f aca="false">C20-D20</f>
        <v>3.0525</v>
      </c>
      <c r="I20" s="12" t="s">
        <v>21</v>
      </c>
    </row>
    <row r="24" customFormat="false" ht="17.25" hidden="false" customHeight="true" outlineLevel="0" collapsed="false">
      <c r="A24" s="2" t="s">
        <v>22</v>
      </c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true" outlineLevel="0" collapsed="false">
      <c r="A25" s="3" t="s">
        <v>23</v>
      </c>
      <c r="B25" s="3"/>
      <c r="C25" s="3"/>
      <c r="D25" s="3"/>
      <c r="E25" s="3"/>
      <c r="F25" s="3"/>
      <c r="G25" s="3"/>
      <c r="H25" s="3"/>
      <c r="I25" s="3"/>
    </row>
    <row r="27" customFormat="false" ht="26.25" hidden="false" customHeight="true" outlineLevel="0" collapsed="false">
      <c r="A27" s="6" t="s">
        <v>24</v>
      </c>
      <c r="B27" s="6" t="s">
        <v>25</v>
      </c>
      <c r="C27" s="6" t="s">
        <v>26</v>
      </c>
    </row>
    <row r="28" customFormat="false" ht="15" hidden="false" customHeight="true" outlineLevel="0" collapsed="false">
      <c r="A28" s="16" t="s">
        <v>27</v>
      </c>
      <c r="B28" s="17" t="n">
        <v>0</v>
      </c>
      <c r="C28" s="12" t="s">
        <v>28</v>
      </c>
    </row>
    <row r="29" customFormat="false" ht="15" hidden="false" customHeight="true" outlineLevel="0" collapsed="false">
      <c r="A29" s="16" t="s">
        <v>29</v>
      </c>
      <c r="B29" s="17" t="n">
        <v>0.51</v>
      </c>
      <c r="C29" s="12" t="s">
        <v>30</v>
      </c>
    </row>
    <row r="30" customFormat="false" ht="15" hidden="false" customHeight="true" outlineLevel="0" collapsed="false">
      <c r="A30" s="16" t="s">
        <v>31</v>
      </c>
      <c r="B30" s="17" t="n">
        <v>0.51</v>
      </c>
      <c r="C30" s="12" t="s">
        <v>32</v>
      </c>
    </row>
    <row r="31" customFormat="false" ht="15" hidden="false" customHeight="true" outlineLevel="0" collapsed="false">
      <c r="A31" s="16" t="s">
        <v>33</v>
      </c>
      <c r="B31" s="17" t="n">
        <v>0.47</v>
      </c>
      <c r="C31" s="12" t="s">
        <v>34</v>
      </c>
    </row>
    <row r="32" customFormat="false" ht="15" hidden="false" customHeight="true" outlineLevel="0" collapsed="false">
      <c r="A32" s="16" t="s">
        <v>35</v>
      </c>
      <c r="B32" s="17" t="n">
        <v>0.51</v>
      </c>
      <c r="C32" s="12" t="s">
        <v>36</v>
      </c>
    </row>
    <row r="33" customFormat="false" ht="15" hidden="false" customHeight="true" outlineLevel="0" collapsed="false">
      <c r="A33" s="16" t="s">
        <v>37</v>
      </c>
      <c r="B33" s="17" t="n">
        <v>0.6</v>
      </c>
      <c r="C33" s="12" t="s">
        <v>38</v>
      </c>
    </row>
    <row r="34" customFormat="false" ht="15" hidden="false" customHeight="true" outlineLevel="0" collapsed="false">
      <c r="A34" s="16" t="s">
        <v>39</v>
      </c>
      <c r="B34" s="17" t="n">
        <v>6.67</v>
      </c>
      <c r="C34" s="12" t="s">
        <v>40</v>
      </c>
    </row>
    <row r="37" customFormat="false" ht="17.25" hidden="false" customHeight="true" outlineLevel="0" collapsed="false">
      <c r="A37" s="2" t="s">
        <v>41</v>
      </c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true" outlineLevel="0" collapsed="false">
      <c r="A38" s="18" t="s">
        <v>42</v>
      </c>
      <c r="B38" s="18" t="s">
        <v>43</v>
      </c>
    </row>
    <row r="39" customFormat="false" ht="15" hidden="false" customHeight="true" outlineLevel="0" collapsed="false">
      <c r="A39" s="19" t="s">
        <v>44</v>
      </c>
      <c r="B39" s="17" t="n">
        <v>0</v>
      </c>
    </row>
    <row r="40" customFormat="false" ht="15" hidden="false" customHeight="true" outlineLevel="0" collapsed="false">
      <c r="A40" s="19" t="s">
        <v>45</v>
      </c>
      <c r="B40" s="17" t="n">
        <v>0.71</v>
      </c>
    </row>
    <row r="41" customFormat="false" ht="15" hidden="false" customHeight="true" outlineLevel="0" collapsed="false">
      <c r="A41" s="19" t="s">
        <v>46</v>
      </c>
      <c r="B41" s="17" t="n">
        <v>0.77</v>
      </c>
    </row>
    <row r="44" customFormat="false" ht="17.25" hidden="false" customHeight="true" outlineLevel="0" collapsed="false">
      <c r="A44" s="2" t="s">
        <v>47</v>
      </c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true" outlineLevel="0" collapsed="false">
      <c r="A45" s="18" t="s">
        <v>48</v>
      </c>
      <c r="B45" s="18" t="s">
        <v>43</v>
      </c>
    </row>
    <row r="46" customFormat="false" ht="15" hidden="false" customHeight="true" outlineLevel="0" collapsed="false">
      <c r="A46" s="19" t="s">
        <v>44</v>
      </c>
      <c r="B46" s="17" t="n">
        <v>0</v>
      </c>
    </row>
    <row r="47" customFormat="false" ht="15" hidden="false" customHeight="true" outlineLevel="0" collapsed="false">
      <c r="A47" s="19" t="s">
        <v>49</v>
      </c>
      <c r="B47" s="17" t="n">
        <v>0.14</v>
      </c>
    </row>
    <row r="48" customFormat="false" ht="15" hidden="false" customHeight="true" outlineLevel="0" collapsed="false">
      <c r="A48" s="19" t="s">
        <v>50</v>
      </c>
      <c r="B48" s="17" t="n">
        <v>0.77</v>
      </c>
    </row>
    <row r="51" customFormat="false" ht="17.25" hidden="false" customHeight="true" outlineLevel="0" collapsed="false">
      <c r="A51" s="2" t="s">
        <v>51</v>
      </c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true" outlineLevel="0" collapsed="false">
      <c r="A52" s="18" t="s">
        <v>52</v>
      </c>
      <c r="B52" s="18" t="s">
        <v>43</v>
      </c>
    </row>
    <row r="53" customFormat="false" ht="15" hidden="false" customHeight="true" outlineLevel="0" collapsed="false">
      <c r="A53" s="19" t="s">
        <v>44</v>
      </c>
      <c r="B53" s="17" t="n">
        <v>0</v>
      </c>
    </row>
    <row r="54" customFormat="false" ht="15" hidden="false" customHeight="true" outlineLevel="0" collapsed="false">
      <c r="A54" s="19" t="s">
        <v>53</v>
      </c>
      <c r="B54" s="17" t="n">
        <v>4.33</v>
      </c>
    </row>
    <row r="55" customFormat="false" ht="15" hidden="false" customHeight="true" outlineLevel="0" collapsed="false">
      <c r="A55" s="19" t="s">
        <v>54</v>
      </c>
      <c r="B55" s="17" t="n">
        <v>3.33</v>
      </c>
    </row>
    <row r="56" customFormat="false" ht="15" hidden="false" customHeight="true" outlineLevel="0" collapsed="false">
      <c r="A56" s="19" t="s">
        <v>55</v>
      </c>
      <c r="B56" s="17" t="n">
        <v>3.67</v>
      </c>
    </row>
    <row r="57" customFormat="false" ht="15" hidden="false" customHeight="true" outlineLevel="0" collapsed="false">
      <c r="A57" s="19" t="s">
        <v>56</v>
      </c>
      <c r="B57" s="17" t="n">
        <v>3.67</v>
      </c>
    </row>
    <row r="58" customFormat="false" ht="15" hidden="false" customHeight="true" outlineLevel="0" collapsed="false">
      <c r="A58" s="19" t="s">
        <v>57</v>
      </c>
      <c r="B58" s="17" t="n">
        <v>3.14</v>
      </c>
    </row>
    <row r="61" customFormat="false" ht="17.25" hidden="false" customHeight="true" outlineLevel="0" collapsed="false">
      <c r="A61" s="2" t="s">
        <v>58</v>
      </c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true" outlineLevel="0" collapsed="false">
      <c r="A62" s="3" t="s">
        <v>59</v>
      </c>
      <c r="B62" s="3"/>
      <c r="C62" s="3"/>
      <c r="D62" s="3"/>
      <c r="E62" s="3"/>
      <c r="F62" s="3"/>
      <c r="G62" s="3"/>
      <c r="H62" s="3"/>
      <c r="I62" s="3"/>
    </row>
    <row r="64" customFormat="false" ht="15" hidden="false" customHeight="true" outlineLevel="0" collapsed="false">
      <c r="A64" s="4" t="s">
        <v>60</v>
      </c>
      <c r="B64" s="20" t="s">
        <v>29</v>
      </c>
    </row>
    <row r="65" customFormat="false" ht="15" hidden="false" customHeight="true" outlineLevel="0" collapsed="false">
      <c r="A65" s="4" t="s">
        <v>61</v>
      </c>
      <c r="B65" s="20" t="s">
        <v>44</v>
      </c>
    </row>
    <row r="66" customFormat="false" ht="15" hidden="false" customHeight="true" outlineLevel="0" collapsed="false">
      <c r="A66" s="4" t="s">
        <v>62</v>
      </c>
      <c r="B66" s="20" t="s">
        <v>44</v>
      </c>
    </row>
    <row r="67" customFormat="false" ht="15" hidden="false" customHeight="true" outlineLevel="0" collapsed="false">
      <c r="A67" s="4" t="s">
        <v>63</v>
      </c>
      <c r="B67" s="20" t="s">
        <v>44</v>
      </c>
    </row>
    <row r="68" customFormat="false" ht="15" hidden="false" customHeight="true" outlineLevel="0" collapsed="false">
      <c r="A68" s="4" t="s">
        <v>64</v>
      </c>
      <c r="B68" s="21" t="n">
        <v>100</v>
      </c>
    </row>
    <row r="70" customFormat="false" ht="15" hidden="false" customHeight="true" outlineLevel="0" collapsed="false">
      <c r="A70" s="13" t="s">
        <v>65</v>
      </c>
      <c r="B70" s="15" t="n">
        <f aca="false">$B$5</f>
        <v>4.07</v>
      </c>
    </row>
    <row r="71" customFormat="false" ht="15" hidden="false" customHeight="true" outlineLevel="0" collapsed="false">
      <c r="A71" s="13" t="s">
        <v>66</v>
      </c>
      <c r="B71" s="15" t="n">
        <f aca="false">VLOOKUP(B64,A28:B34,2,FALSE())</f>
        <v>0.51</v>
      </c>
    </row>
    <row r="72" customFormat="false" ht="15" hidden="false" customHeight="true" outlineLevel="0" collapsed="false">
      <c r="A72" s="13" t="s">
        <v>67</v>
      </c>
      <c r="B72" s="15" t="n">
        <f aca="false">VLOOKUP(B65,A39:B41,2,FALSE())</f>
        <v>0</v>
      </c>
    </row>
    <row r="73" customFormat="false" ht="15" hidden="false" customHeight="true" outlineLevel="0" collapsed="false">
      <c r="A73" s="13" t="s">
        <v>68</v>
      </c>
      <c r="B73" s="15" t="n">
        <f aca="false">VLOOKUP(B66,A46:B48,2,FALSE())</f>
        <v>0</v>
      </c>
    </row>
    <row r="74" customFormat="false" ht="15" hidden="false" customHeight="true" outlineLevel="0" collapsed="false">
      <c r="A74" s="13" t="s">
        <v>69</v>
      </c>
      <c r="B74" s="15" t="n">
        <f aca="false">VLOOKUP(B67,A53:B58,2,FALSE())</f>
        <v>0</v>
      </c>
    </row>
    <row r="75" customFormat="false" ht="15" hidden="false" customHeight="true" outlineLevel="0" collapsed="false">
      <c r="A75" s="13" t="s">
        <v>70</v>
      </c>
      <c r="B75" s="15" t="n">
        <f aca="false">$B$5+VLOOKUP(B64,A28:B34,2,FALSE())+VLOOKUP(B65,A39:B41,2,FALSE())+VLOOKUP(B66,A46:B48,2,FALSE())+VLOOKUP(B67,A53:B58,2,FALSE())</f>
        <v>4.58</v>
      </c>
    </row>
    <row r="76" customFormat="false" ht="15" hidden="false" customHeight="true" outlineLevel="0" collapsed="false">
      <c r="A76" s="13" t="s">
        <v>71</v>
      </c>
      <c r="B76" s="14" t="n">
        <f aca="false">LOOKUP(B68,A8:A20,B8:B20)</f>
        <v>0.541</v>
      </c>
    </row>
    <row r="77" customFormat="false" ht="15" hidden="false" customHeight="true" outlineLevel="0" collapsed="false">
      <c r="A77" s="13" t="s">
        <v>72</v>
      </c>
      <c r="B77" s="15" t="n">
        <f aca="false">($B$5+VLOOKUP(B64,A28:B34,2,FALSE())+VLOOKUP(B65,A39:B41,2,FALSE())+VLOOKUP(B66,A46:B48,2,FALSE())+VLOOKUP(B67,A53:B58,2,FALSE()))*(1-LOOKUP(B68,A8:A20,B8:B20))</f>
        <v>2.10222</v>
      </c>
    </row>
    <row r="78" customFormat="false" ht="15" hidden="false" customHeight="true" outlineLevel="0" collapsed="false">
      <c r="A78" s="13" t="s">
        <v>73</v>
      </c>
      <c r="B78" s="15" t="n">
        <f aca="false">B68*($B$5+VLOOKUP(B64,A28:B34,2,FALSE())+VLOOKUP(B65,A39:B41,2,FALSE())+VLOOKUP(B66,A46:B48,2,FALSE())+VLOOKUP(B67,A53:B58,2,FALSE()))*(1-LOOKUP(B68,A8:A20,B8:B20))</f>
        <v>210.222</v>
      </c>
    </row>
    <row r="81" customFormat="false" ht="17.25" hidden="false" customHeight="true" outlineLevel="0" collapsed="false">
      <c r="A81" s="2" t="s">
        <v>74</v>
      </c>
      <c r="B81" s="2"/>
      <c r="D81" s="2" t="s">
        <v>75</v>
      </c>
      <c r="E81" s="2"/>
      <c r="G81" s="2" t="s">
        <v>76</v>
      </c>
      <c r="H81" s="2"/>
    </row>
    <row r="82" customFormat="false" ht="15" hidden="false" customHeight="true" outlineLevel="0" collapsed="false">
      <c r="A82" s="3" t="s">
        <v>77</v>
      </c>
      <c r="B82" s="3"/>
      <c r="D82" s="3" t="s">
        <v>78</v>
      </c>
      <c r="E82" s="3"/>
      <c r="G82" s="3" t="s">
        <v>78</v>
      </c>
      <c r="H82" s="3"/>
    </row>
    <row r="84" customFormat="false" ht="15" hidden="false" customHeight="true" outlineLevel="0" collapsed="false">
      <c r="A84" s="18" t="s">
        <v>79</v>
      </c>
      <c r="B84" s="18" t="s">
        <v>25</v>
      </c>
      <c r="D84" s="18" t="s">
        <v>79</v>
      </c>
      <c r="E84" s="18" t="s">
        <v>25</v>
      </c>
      <c r="G84" s="18" t="s">
        <v>79</v>
      </c>
      <c r="H84" s="18" t="s">
        <v>25</v>
      </c>
    </row>
    <row r="85" customFormat="false" ht="15" hidden="false" customHeight="true" outlineLevel="0" collapsed="false">
      <c r="A85" s="22" t="n">
        <v>8</v>
      </c>
      <c r="B85" s="17" t="n">
        <v>0</v>
      </c>
      <c r="D85" s="22" t="n">
        <v>8</v>
      </c>
      <c r="E85" s="17" t="n">
        <v>0</v>
      </c>
      <c r="G85" s="22" t="n">
        <v>8</v>
      </c>
      <c r="H85" s="17" t="n">
        <v>0</v>
      </c>
    </row>
    <row r="86" customFormat="false" ht="15" hidden="false" customHeight="true" outlineLevel="0" collapsed="false">
      <c r="A86" s="22" t="n">
        <v>12</v>
      </c>
      <c r="B86" s="17" t="n">
        <v>0.14</v>
      </c>
      <c r="D86" s="22" t="n">
        <v>12</v>
      </c>
      <c r="E86" s="17" t="n">
        <v>0.15</v>
      </c>
      <c r="G86" s="22" t="n">
        <v>12</v>
      </c>
      <c r="H86" s="17" t="n">
        <v>0.15</v>
      </c>
    </row>
    <row r="87" customFormat="false" ht="15" hidden="false" customHeight="true" outlineLevel="0" collapsed="false">
      <c r="A87" s="22" t="n">
        <v>16</v>
      </c>
      <c r="B87" s="17" t="n">
        <v>0.28</v>
      </c>
      <c r="D87" s="22" t="n">
        <v>16</v>
      </c>
      <c r="E87" s="17" t="n">
        <v>0.3</v>
      </c>
      <c r="G87" s="22" t="n">
        <v>16</v>
      </c>
      <c r="H87" s="17" t="n">
        <v>0.3</v>
      </c>
    </row>
    <row r="88" customFormat="false" ht="15" hidden="false" customHeight="true" outlineLevel="0" collapsed="false">
      <c r="A88" s="22" t="n">
        <v>20</v>
      </c>
      <c r="B88" s="17" t="n">
        <v>0.42</v>
      </c>
      <c r="D88" s="22" t="n">
        <v>20</v>
      </c>
      <c r="E88" s="17" t="n">
        <v>0.45</v>
      </c>
      <c r="G88" s="22" t="n">
        <v>20</v>
      </c>
      <c r="H88" s="17" t="n">
        <v>0.45</v>
      </c>
    </row>
    <row r="89" customFormat="false" ht="15" hidden="false" customHeight="true" outlineLevel="0" collapsed="false">
      <c r="A89" s="22" t="n">
        <v>24</v>
      </c>
      <c r="B89" s="17" t="n">
        <v>0.56</v>
      </c>
      <c r="D89" s="22" t="n">
        <v>24</v>
      </c>
      <c r="E89" s="17" t="n">
        <v>0.6</v>
      </c>
      <c r="G89" s="22" t="n">
        <v>24</v>
      </c>
      <c r="H89" s="17" t="n">
        <v>0.6</v>
      </c>
    </row>
    <row r="90" customFormat="false" ht="15" hidden="false" customHeight="true" outlineLevel="0" collapsed="false">
      <c r="A90" s="22" t="n">
        <v>28</v>
      </c>
      <c r="B90" s="17" t="n">
        <v>0.7</v>
      </c>
      <c r="D90" s="22" t="n">
        <v>28</v>
      </c>
      <c r="E90" s="17" t="n">
        <v>0.75</v>
      </c>
      <c r="G90" s="22" t="n">
        <v>28</v>
      </c>
      <c r="H90" s="17" t="n">
        <v>0.75</v>
      </c>
    </row>
    <row r="91" customFormat="false" ht="15" hidden="false" customHeight="true" outlineLevel="0" collapsed="false">
      <c r="A91" s="22" t="n">
        <v>32</v>
      </c>
      <c r="B91" s="17" t="n">
        <v>0.84</v>
      </c>
      <c r="D91" s="22" t="n">
        <v>32</v>
      </c>
      <c r="E91" s="17" t="n">
        <v>0.9</v>
      </c>
      <c r="G91" s="22" t="n">
        <v>32</v>
      </c>
      <c r="H91" s="17" t="n">
        <v>0.9</v>
      </c>
    </row>
    <row r="92" customFormat="false" ht="15" hidden="false" customHeight="true" outlineLevel="0" collapsed="false">
      <c r="A92" s="22" t="n">
        <v>36</v>
      </c>
      <c r="B92" s="17" t="n">
        <v>0.98</v>
      </c>
      <c r="D92" s="22" t="n">
        <v>36</v>
      </c>
      <c r="E92" s="17" t="n">
        <v>1.05</v>
      </c>
      <c r="G92" s="22" t="n">
        <v>36</v>
      </c>
      <c r="H92" s="17" t="n">
        <v>1.05</v>
      </c>
    </row>
    <row r="93" customFormat="false" ht="15" hidden="false" customHeight="true" outlineLevel="0" collapsed="false">
      <c r="A93" s="22" t="n">
        <v>40</v>
      </c>
      <c r="B93" s="17" t="n">
        <v>1.12</v>
      </c>
      <c r="D93" s="22" t="n">
        <v>40</v>
      </c>
      <c r="E93" s="17" t="n">
        <v>1.2</v>
      </c>
      <c r="G93" s="22" t="n">
        <v>40</v>
      </c>
      <c r="H93" s="17" t="n">
        <v>1.2</v>
      </c>
    </row>
    <row r="94" customFormat="false" ht="15" hidden="false" customHeight="true" outlineLevel="0" collapsed="false">
      <c r="A94" s="22" t="n">
        <v>44</v>
      </c>
      <c r="B94" s="17" t="n">
        <v>1.26</v>
      </c>
      <c r="D94" s="22" t="n">
        <v>44</v>
      </c>
      <c r="E94" s="17" t="n">
        <v>1.35</v>
      </c>
      <c r="G94" s="22" t="n">
        <v>44</v>
      </c>
      <c r="H94" s="17" t="n">
        <v>1.35</v>
      </c>
    </row>
    <row r="95" customFormat="false" ht="15" hidden="false" customHeight="true" outlineLevel="0" collapsed="false">
      <c r="A95" s="22" t="n">
        <v>48</v>
      </c>
      <c r="B95" s="17" t="n">
        <v>1.4</v>
      </c>
      <c r="D95" s="22" t="n">
        <v>48</v>
      </c>
      <c r="E95" s="17" t="n">
        <v>1.5</v>
      </c>
      <c r="G95" s="22" t="n">
        <v>48</v>
      </c>
      <c r="H95" s="17" t="n">
        <v>1.5</v>
      </c>
    </row>
    <row r="96" customFormat="false" ht="15" hidden="false" customHeight="true" outlineLevel="0" collapsed="false">
      <c r="A96" s="22" t="n">
        <v>52</v>
      </c>
      <c r="B96" s="17" t="n">
        <v>1.54</v>
      </c>
      <c r="D96" s="22" t="n">
        <v>52</v>
      </c>
      <c r="E96" s="17" t="n">
        <v>1.65</v>
      </c>
      <c r="G96" s="22" t="n">
        <v>52</v>
      </c>
      <c r="H96" s="17" t="n">
        <v>1.65</v>
      </c>
    </row>
    <row r="99" customFormat="false" ht="17.25" hidden="false" customHeight="true" outlineLevel="0" collapsed="false">
      <c r="A99" s="2" t="s">
        <v>80</v>
      </c>
      <c r="B99" s="2"/>
      <c r="D99" s="2" t="s">
        <v>81</v>
      </c>
      <c r="E99" s="2"/>
      <c r="G99" s="2" t="s">
        <v>82</v>
      </c>
      <c r="H99" s="2"/>
    </row>
    <row r="100" customFormat="false" ht="15" hidden="false" customHeight="true" outlineLevel="0" collapsed="false">
      <c r="A100" s="3" t="s">
        <v>83</v>
      </c>
      <c r="B100" s="3"/>
      <c r="D100" s="3" t="s">
        <v>84</v>
      </c>
      <c r="E100" s="3"/>
      <c r="G100" s="3" t="s">
        <v>84</v>
      </c>
      <c r="H100" s="3"/>
    </row>
    <row r="102" customFormat="false" ht="15" hidden="false" customHeight="true" outlineLevel="0" collapsed="false">
      <c r="A102" s="18" t="s">
        <v>79</v>
      </c>
      <c r="B102" s="18" t="s">
        <v>25</v>
      </c>
      <c r="D102" s="18" t="s">
        <v>79</v>
      </c>
      <c r="E102" s="18" t="s">
        <v>25</v>
      </c>
      <c r="G102" s="18" t="s">
        <v>79</v>
      </c>
      <c r="H102" s="18" t="s">
        <v>25</v>
      </c>
    </row>
    <row r="103" customFormat="false" ht="15" hidden="false" customHeight="true" outlineLevel="0" collapsed="false">
      <c r="A103" s="22" t="n">
        <v>8</v>
      </c>
      <c r="B103" s="17" t="n">
        <v>0</v>
      </c>
      <c r="D103" s="22" t="n">
        <v>8</v>
      </c>
      <c r="E103" s="17" t="n">
        <v>0</v>
      </c>
      <c r="G103" s="22" t="n">
        <v>8</v>
      </c>
      <c r="H103" s="17" t="n">
        <v>0</v>
      </c>
    </row>
    <row r="104" customFormat="false" ht="15" hidden="false" customHeight="true" outlineLevel="0" collapsed="false">
      <c r="A104" s="22" t="n">
        <v>12</v>
      </c>
      <c r="B104" s="17" t="n">
        <v>0.19</v>
      </c>
      <c r="D104" s="22" t="n">
        <v>12</v>
      </c>
      <c r="E104" s="17" t="n">
        <v>0.2</v>
      </c>
      <c r="G104" s="22" t="n">
        <v>12</v>
      </c>
      <c r="H104" s="17" t="n">
        <v>0.2</v>
      </c>
    </row>
    <row r="105" customFormat="false" ht="15" hidden="false" customHeight="true" outlineLevel="0" collapsed="false">
      <c r="A105" s="22" t="n">
        <v>16</v>
      </c>
      <c r="B105" s="17" t="n">
        <v>0.38</v>
      </c>
      <c r="D105" s="22" t="n">
        <v>16</v>
      </c>
      <c r="E105" s="17" t="n">
        <v>0.4</v>
      </c>
      <c r="G105" s="22" t="n">
        <v>16</v>
      </c>
      <c r="H105" s="17" t="n">
        <v>0.4</v>
      </c>
    </row>
    <row r="106" customFormat="false" ht="15" hidden="false" customHeight="true" outlineLevel="0" collapsed="false">
      <c r="A106" s="22" t="n">
        <v>20</v>
      </c>
      <c r="B106" s="17" t="n">
        <v>0.57</v>
      </c>
      <c r="D106" s="22" t="n">
        <v>20</v>
      </c>
      <c r="E106" s="17" t="n">
        <v>0.6</v>
      </c>
      <c r="G106" s="22" t="n">
        <v>20</v>
      </c>
      <c r="H106" s="17" t="n">
        <v>0.6</v>
      </c>
    </row>
    <row r="107" customFormat="false" ht="15" hidden="false" customHeight="true" outlineLevel="0" collapsed="false">
      <c r="A107" s="22" t="n">
        <v>24</v>
      </c>
      <c r="B107" s="17" t="n">
        <v>0.76</v>
      </c>
      <c r="D107" s="22" t="n">
        <v>24</v>
      </c>
      <c r="E107" s="17" t="n">
        <v>0.8</v>
      </c>
      <c r="G107" s="22" t="n">
        <v>24</v>
      </c>
      <c r="H107" s="17" t="n">
        <v>0.8</v>
      </c>
    </row>
    <row r="108" customFormat="false" ht="15" hidden="false" customHeight="true" outlineLevel="0" collapsed="false">
      <c r="A108" s="22" t="n">
        <v>28</v>
      </c>
      <c r="B108" s="17" t="n">
        <v>0.95</v>
      </c>
      <c r="D108" s="22" t="n">
        <v>28</v>
      </c>
      <c r="E108" s="17" t="n">
        <v>1</v>
      </c>
      <c r="G108" s="22" t="n">
        <v>28</v>
      </c>
      <c r="H108" s="17" t="n">
        <v>1</v>
      </c>
    </row>
    <row r="109" customFormat="false" ht="15" hidden="false" customHeight="true" outlineLevel="0" collapsed="false">
      <c r="A109" s="22" t="n">
        <v>32</v>
      </c>
      <c r="B109" s="17" t="n">
        <v>1.14</v>
      </c>
      <c r="D109" s="22" t="n">
        <v>32</v>
      </c>
      <c r="E109" s="17" t="n">
        <v>1.2</v>
      </c>
      <c r="G109" s="22" t="n">
        <v>32</v>
      </c>
      <c r="H109" s="17" t="n">
        <v>1.2</v>
      </c>
    </row>
    <row r="110" customFormat="false" ht="15" hidden="false" customHeight="true" outlineLevel="0" collapsed="false">
      <c r="A110" s="22" t="n">
        <v>36</v>
      </c>
      <c r="B110" s="17" t="n">
        <v>1.33</v>
      </c>
      <c r="D110" s="22" t="n">
        <v>36</v>
      </c>
      <c r="E110" s="17" t="n">
        <v>1.4</v>
      </c>
      <c r="G110" s="22" t="n">
        <v>36</v>
      </c>
      <c r="H110" s="17" t="n">
        <v>1.4</v>
      </c>
    </row>
    <row r="111" customFormat="false" ht="15" hidden="false" customHeight="true" outlineLevel="0" collapsed="false">
      <c r="A111" s="22" t="n">
        <v>40</v>
      </c>
      <c r="B111" s="17" t="n">
        <v>1.52</v>
      </c>
      <c r="D111" s="22" t="n">
        <v>40</v>
      </c>
      <c r="E111" s="17" t="n">
        <v>1.6</v>
      </c>
      <c r="G111" s="22" t="n">
        <v>40</v>
      </c>
      <c r="H111" s="17" t="n">
        <v>1.6</v>
      </c>
    </row>
    <row r="112" customFormat="false" ht="15" hidden="false" customHeight="true" outlineLevel="0" collapsed="false">
      <c r="A112" s="22" t="n">
        <v>44</v>
      </c>
      <c r="B112" s="17" t="n">
        <v>1.71</v>
      </c>
      <c r="D112" s="22" t="n">
        <v>44</v>
      </c>
      <c r="E112" s="17" t="n">
        <v>1.8</v>
      </c>
      <c r="G112" s="22" t="n">
        <v>44</v>
      </c>
      <c r="H112" s="17" t="n">
        <v>1.8</v>
      </c>
    </row>
    <row r="113" customFormat="false" ht="15" hidden="false" customHeight="true" outlineLevel="0" collapsed="false">
      <c r="A113" s="22" t="n">
        <v>48</v>
      </c>
      <c r="B113" s="17" t="n">
        <v>1.9</v>
      </c>
      <c r="D113" s="22" t="n">
        <v>48</v>
      </c>
      <c r="E113" s="17" t="n">
        <v>2</v>
      </c>
      <c r="G113" s="22" t="n">
        <v>48</v>
      </c>
      <c r="H113" s="17" t="n">
        <v>2</v>
      </c>
    </row>
    <row r="114" customFormat="false" ht="15" hidden="false" customHeight="true" outlineLevel="0" collapsed="false">
      <c r="A114" s="22" t="n">
        <v>52</v>
      </c>
      <c r="B114" s="17" t="n">
        <v>2.09</v>
      </c>
      <c r="D114" s="22" t="n">
        <v>52</v>
      </c>
      <c r="E114" s="17" t="n">
        <v>2.2</v>
      </c>
      <c r="G114" s="22" t="n">
        <v>52</v>
      </c>
      <c r="H114" s="17" t="n">
        <v>2.2</v>
      </c>
    </row>
  </sheetData>
  <mergeCells count="24">
    <mergeCell ref="A1:I1"/>
    <mergeCell ref="A2:I2"/>
    <mergeCell ref="A3:I3"/>
    <mergeCell ref="C5:I5"/>
    <mergeCell ref="K7:L7"/>
    <mergeCell ref="A24:I24"/>
    <mergeCell ref="A25:I25"/>
    <mergeCell ref="A37:I37"/>
    <mergeCell ref="A44:I44"/>
    <mergeCell ref="A51:I51"/>
    <mergeCell ref="A61:I61"/>
    <mergeCell ref="A62:I62"/>
    <mergeCell ref="A81:B81"/>
    <mergeCell ref="D81:E81"/>
    <mergeCell ref="G81:H81"/>
    <mergeCell ref="A82:B82"/>
    <mergeCell ref="D82:E82"/>
    <mergeCell ref="G82:H82"/>
    <mergeCell ref="A99:B99"/>
    <mergeCell ref="D99:E99"/>
    <mergeCell ref="G99:H99"/>
    <mergeCell ref="A100:B100"/>
    <mergeCell ref="D100:E100"/>
    <mergeCell ref="G100:H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5" min="3" style="1" width="16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86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 t="s">
        <v>87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5" t="n">
        <v>5.36</v>
      </c>
      <c r="C5" s="3" t="s">
        <v>88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K7" s="7" t="s">
        <v>14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5.36</v>
      </c>
      <c r="D8" s="10" t="n">
        <f aca="false">C8*(1-B8)</f>
        <v>5.36</v>
      </c>
      <c r="E8" s="11" t="n">
        <f aca="false">A8*C8</f>
        <v>5.36</v>
      </c>
      <c r="F8" s="11" t="n">
        <f aca="false">A8*D8</f>
        <v>5.36</v>
      </c>
      <c r="G8" s="11" t="n">
        <f aca="false">E8-F8</f>
        <v>0</v>
      </c>
      <c r="H8" s="10" t="n">
        <f aca="false">C8-D8</f>
        <v>0</v>
      </c>
      <c r="I8" s="12" t="s">
        <v>15</v>
      </c>
      <c r="K8" s="13" t="s">
        <v>16</v>
      </c>
      <c r="L8" s="14" t="n">
        <f aca="false">MAX(B8:B20)</f>
        <v>0.669</v>
      </c>
    </row>
    <row r="9" customFormat="false" ht="15" hidden="false" customHeight="true" outlineLevel="0" collapsed="false">
      <c r="A9" s="8" t="n">
        <v>2</v>
      </c>
      <c r="B9" s="9" t="n">
        <v>0.115</v>
      </c>
      <c r="C9" s="10" t="n">
        <f aca="false">$B$5</f>
        <v>5.36</v>
      </c>
      <c r="D9" s="10" t="n">
        <f aca="false">C9*(1-B9)</f>
        <v>4.7436</v>
      </c>
      <c r="E9" s="11" t="n">
        <f aca="false">A9*C9</f>
        <v>10.72</v>
      </c>
      <c r="F9" s="11" t="n">
        <f aca="false">A9*D9</f>
        <v>9.4872</v>
      </c>
      <c r="G9" s="11" t="n">
        <f aca="false">E9-F9</f>
        <v>1.2328</v>
      </c>
      <c r="H9" s="10" t="n">
        <f aca="false">C9-D9</f>
        <v>0.6164</v>
      </c>
      <c r="I9" s="12" t="s">
        <v>15</v>
      </c>
      <c r="K9" s="13" t="s">
        <v>17</v>
      </c>
      <c r="L9" s="15" t="n">
        <f aca="false">MIN(D8:D20)</f>
        <v>1.77416</v>
      </c>
    </row>
    <row r="10" customFormat="false" ht="15" hidden="false" customHeight="true" outlineLevel="0" collapsed="false">
      <c r="A10" s="8" t="n">
        <v>5</v>
      </c>
      <c r="B10" s="9" t="n">
        <v>0.138</v>
      </c>
      <c r="C10" s="10" t="n">
        <f aca="false">$B$5</f>
        <v>5.36</v>
      </c>
      <c r="D10" s="10" t="n">
        <f aca="false">C10*(1-B10)</f>
        <v>4.62032</v>
      </c>
      <c r="E10" s="11" t="n">
        <f aca="false">A10*C10</f>
        <v>26.8</v>
      </c>
      <c r="F10" s="11" t="n">
        <f aca="false">A10*D10</f>
        <v>23.1016</v>
      </c>
      <c r="G10" s="11" t="n">
        <f aca="false">E10-F10</f>
        <v>3.6984</v>
      </c>
      <c r="H10" s="10" t="n">
        <f aca="false">C10-D10</f>
        <v>0.73968</v>
      </c>
      <c r="I10" s="12" t="s">
        <v>15</v>
      </c>
      <c r="K10" s="13" t="s">
        <v>18</v>
      </c>
      <c r="L10" s="15" t="n">
        <f aca="false">F20</f>
        <v>1774.16</v>
      </c>
    </row>
    <row r="11" customFormat="false" ht="15" hidden="false" customHeight="true" outlineLevel="0" collapsed="false">
      <c r="A11" s="8" t="n">
        <v>20</v>
      </c>
      <c r="B11" s="9" t="n">
        <v>0.339</v>
      </c>
      <c r="C11" s="10" t="n">
        <f aca="false">$B$5</f>
        <v>5.36</v>
      </c>
      <c r="D11" s="10" t="n">
        <f aca="false">C11*(1-B11)</f>
        <v>3.54296</v>
      </c>
      <c r="E11" s="11" t="n">
        <f aca="false">A11*C11</f>
        <v>107.2</v>
      </c>
      <c r="F11" s="11" t="n">
        <f aca="false">A11*D11</f>
        <v>70.8592</v>
      </c>
      <c r="G11" s="11" t="n">
        <f aca="false">E11-F11</f>
        <v>36.3408</v>
      </c>
      <c r="H11" s="10" t="n">
        <f aca="false">C11-D11</f>
        <v>1.81704</v>
      </c>
      <c r="I11" s="12" t="s">
        <v>15</v>
      </c>
      <c r="K11" s="13" t="s">
        <v>19</v>
      </c>
      <c r="L11" s="15" t="n">
        <f aca="false">G20</f>
        <v>3585.84</v>
      </c>
    </row>
    <row r="12" customFormat="false" ht="15" hidden="false" customHeight="true" outlineLevel="0" collapsed="false">
      <c r="A12" s="8" t="n">
        <v>25</v>
      </c>
      <c r="B12" s="9" t="n">
        <v>0.366</v>
      </c>
      <c r="C12" s="10" t="n">
        <f aca="false">$B$5</f>
        <v>5.36</v>
      </c>
      <c r="D12" s="10" t="n">
        <f aca="false">C12*(1-B12)</f>
        <v>3.39824</v>
      </c>
      <c r="E12" s="11" t="n">
        <f aca="false">A12*C12</f>
        <v>134</v>
      </c>
      <c r="F12" s="11" t="n">
        <f aca="false">A12*D12</f>
        <v>84.956</v>
      </c>
      <c r="G12" s="11" t="n">
        <f aca="false">E12-F12</f>
        <v>49.044</v>
      </c>
      <c r="H12" s="10" t="n">
        <f aca="false">C12-D12</f>
        <v>1.96176</v>
      </c>
      <c r="I12" s="12" t="s">
        <v>15</v>
      </c>
    </row>
    <row r="13" customFormat="false" ht="15" hidden="false" customHeight="true" outlineLevel="0" collapsed="false">
      <c r="A13" s="8" t="n">
        <v>50</v>
      </c>
      <c r="B13" s="9" t="n">
        <v>0.436</v>
      </c>
      <c r="C13" s="10" t="n">
        <f aca="false">$B$5</f>
        <v>5.36</v>
      </c>
      <c r="D13" s="10" t="n">
        <f aca="false">C13*(1-B13)</f>
        <v>3.02304</v>
      </c>
      <c r="E13" s="11" t="n">
        <f aca="false">A13*C13</f>
        <v>268</v>
      </c>
      <c r="F13" s="11" t="n">
        <f aca="false">A13*D13</f>
        <v>151.152</v>
      </c>
      <c r="G13" s="11" t="n">
        <f aca="false">E13-F13</f>
        <v>116.848</v>
      </c>
      <c r="H13" s="10" t="n">
        <f aca="false">C13-D13</f>
        <v>2.33696</v>
      </c>
      <c r="I13" s="12" t="s">
        <v>15</v>
      </c>
    </row>
    <row r="14" customFormat="false" ht="15" hidden="false" customHeight="true" outlineLevel="0" collapsed="false">
      <c r="A14" s="8" t="n">
        <v>75</v>
      </c>
      <c r="B14" s="9" t="n">
        <v>0.467</v>
      </c>
      <c r="C14" s="10" t="n">
        <f aca="false">$B$5</f>
        <v>5.36</v>
      </c>
      <c r="D14" s="10" t="n">
        <f aca="false">C14*(1-B14)</f>
        <v>2.85688</v>
      </c>
      <c r="E14" s="11" t="n">
        <f aca="false">A14*C14</f>
        <v>402</v>
      </c>
      <c r="F14" s="11" t="n">
        <f aca="false">A14*D14</f>
        <v>214.266</v>
      </c>
      <c r="G14" s="11" t="n">
        <f aca="false">E14-F14</f>
        <v>187.734</v>
      </c>
      <c r="H14" s="10" t="n">
        <f aca="false">C14-D14</f>
        <v>2.50312</v>
      </c>
      <c r="I14" s="12" t="s">
        <v>15</v>
      </c>
    </row>
    <row r="15" customFormat="false" ht="15" hidden="false" customHeight="true" outlineLevel="0" collapsed="false">
      <c r="A15" s="8" t="n">
        <v>100</v>
      </c>
      <c r="B15" s="9" t="n">
        <v>0.511</v>
      </c>
      <c r="C15" s="10" t="n">
        <f aca="false">$B$5</f>
        <v>5.36</v>
      </c>
      <c r="D15" s="10" t="n">
        <f aca="false">C15*(1-B15)</f>
        <v>2.62104</v>
      </c>
      <c r="E15" s="11" t="n">
        <f aca="false">A15*C15</f>
        <v>536</v>
      </c>
      <c r="F15" s="11" t="n">
        <f aca="false">A15*D15</f>
        <v>262.104</v>
      </c>
      <c r="G15" s="11" t="n">
        <f aca="false">E15-F15</f>
        <v>273.896</v>
      </c>
      <c r="H15" s="10" t="n">
        <f aca="false">C15-D15</f>
        <v>2.73896</v>
      </c>
      <c r="I15" s="12" t="s">
        <v>15</v>
      </c>
    </row>
    <row r="16" customFormat="false" ht="15" hidden="false" customHeight="true" outlineLevel="0" collapsed="false">
      <c r="A16" s="8" t="n">
        <v>250</v>
      </c>
      <c r="B16" s="9" t="n">
        <v>0.555</v>
      </c>
      <c r="C16" s="10" t="n">
        <f aca="false">$B$5</f>
        <v>5.36</v>
      </c>
      <c r="D16" s="10" t="n">
        <f aca="false">C16*(1-B16)</f>
        <v>2.3852</v>
      </c>
      <c r="E16" s="11" t="n">
        <f aca="false">A16*C16</f>
        <v>1340</v>
      </c>
      <c r="F16" s="11" t="n">
        <f aca="false">A16*D16</f>
        <v>596.3</v>
      </c>
      <c r="G16" s="11" t="n">
        <f aca="false">E16-F16</f>
        <v>743.7</v>
      </c>
      <c r="H16" s="10" t="n">
        <f aca="false">C16-D16</f>
        <v>2.9748</v>
      </c>
      <c r="I16" s="12" t="s">
        <v>15</v>
      </c>
    </row>
    <row r="17" customFormat="false" ht="15" hidden="false" customHeight="true" outlineLevel="0" collapsed="false">
      <c r="A17" s="8" t="n">
        <v>300</v>
      </c>
      <c r="B17" s="9" t="n">
        <v>0.569</v>
      </c>
      <c r="C17" s="10" t="n">
        <f aca="false">$B$5</f>
        <v>5.36</v>
      </c>
      <c r="D17" s="10" t="n">
        <f aca="false">C17*(1-B17)</f>
        <v>2.31016</v>
      </c>
      <c r="E17" s="11" t="n">
        <f aca="false">A17*C17</f>
        <v>1608</v>
      </c>
      <c r="F17" s="11" t="n">
        <f aca="false">A17*D17</f>
        <v>693.048</v>
      </c>
      <c r="G17" s="11" t="n">
        <f aca="false">E17-F17</f>
        <v>914.952</v>
      </c>
      <c r="H17" s="10" t="n">
        <f aca="false">C17-D17</f>
        <v>3.04984</v>
      </c>
      <c r="I17" s="12" t="s">
        <v>15</v>
      </c>
    </row>
    <row r="18" customFormat="false" ht="15" hidden="false" customHeight="true" outlineLevel="0" collapsed="false">
      <c r="A18" s="8" t="n">
        <v>500</v>
      </c>
      <c r="B18" s="9" t="n">
        <v>0.598</v>
      </c>
      <c r="C18" s="10" t="n">
        <f aca="false">$B$5</f>
        <v>5.36</v>
      </c>
      <c r="D18" s="10" t="n">
        <f aca="false">C18*(1-B18)</f>
        <v>2.15472</v>
      </c>
      <c r="E18" s="11" t="n">
        <f aca="false">A18*C18</f>
        <v>2680</v>
      </c>
      <c r="F18" s="11" t="n">
        <f aca="false">A18*D18</f>
        <v>1077.36</v>
      </c>
      <c r="G18" s="11" t="n">
        <f aca="false">E18-F18</f>
        <v>1602.64</v>
      </c>
      <c r="H18" s="10" t="n">
        <f aca="false">C18-D18</f>
        <v>3.20528</v>
      </c>
      <c r="I18" s="12" t="s">
        <v>15</v>
      </c>
    </row>
    <row r="19" customFormat="false" ht="15" hidden="false" customHeight="true" outlineLevel="0" collapsed="false">
      <c r="A19" s="8" t="n">
        <v>750</v>
      </c>
      <c r="B19" s="9" t="n">
        <v>0.621</v>
      </c>
      <c r="C19" s="10" t="n">
        <f aca="false">$B$5</f>
        <v>5.36</v>
      </c>
      <c r="D19" s="10" t="n">
        <f aca="false">C19*(1-B19)</f>
        <v>2.03144</v>
      </c>
      <c r="E19" s="11" t="n">
        <f aca="false">A19*C19</f>
        <v>4020</v>
      </c>
      <c r="F19" s="11" t="n">
        <f aca="false">A19*D19</f>
        <v>1523.58</v>
      </c>
      <c r="G19" s="11" t="n">
        <f aca="false">E19-F19</f>
        <v>2496.42</v>
      </c>
      <c r="H19" s="10" t="n">
        <f aca="false">C19-D19</f>
        <v>3.32856</v>
      </c>
      <c r="I19" s="12" t="s">
        <v>15</v>
      </c>
    </row>
    <row r="20" customFormat="false" ht="15" hidden="false" customHeight="true" outlineLevel="0" collapsed="false">
      <c r="A20" s="8" t="n">
        <v>1000</v>
      </c>
      <c r="B20" s="9" t="n">
        <v>0.669</v>
      </c>
      <c r="C20" s="10" t="n">
        <f aca="false">$B$5</f>
        <v>5.36</v>
      </c>
      <c r="D20" s="10" t="n">
        <f aca="false">C20*(1-B20)</f>
        <v>1.77416</v>
      </c>
      <c r="E20" s="11" t="n">
        <f aca="false">A20*C20</f>
        <v>5360</v>
      </c>
      <c r="F20" s="11" t="n">
        <f aca="false">A20*D20</f>
        <v>1774.16</v>
      </c>
      <c r="G20" s="11" t="n">
        <f aca="false">E20-F20</f>
        <v>3585.84</v>
      </c>
      <c r="H20" s="10" t="n">
        <f aca="false">C20-D20</f>
        <v>3.58584</v>
      </c>
      <c r="I20" s="12" t="s">
        <v>15</v>
      </c>
    </row>
    <row r="23" customFormat="false" ht="17.25" hidden="false" customHeight="tru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true" outlineLevel="0" collapsed="false">
      <c r="A24" s="3" t="s">
        <v>89</v>
      </c>
      <c r="B24" s="3"/>
      <c r="C24" s="3"/>
      <c r="D24" s="3"/>
      <c r="E24" s="3"/>
      <c r="F24" s="3"/>
      <c r="G24" s="3"/>
      <c r="H24" s="3"/>
      <c r="I24" s="3"/>
    </row>
    <row r="26" customFormat="false" ht="26.25" hidden="false" customHeight="true" outlineLevel="0" collapsed="false">
      <c r="A26" s="6" t="s">
        <v>24</v>
      </c>
      <c r="B26" s="6" t="s">
        <v>25</v>
      </c>
      <c r="C26" s="6" t="s">
        <v>26</v>
      </c>
    </row>
    <row r="27" customFormat="false" ht="15" hidden="false" customHeight="true" outlineLevel="0" collapsed="false">
      <c r="A27" s="19" t="s">
        <v>27</v>
      </c>
      <c r="B27" s="17" t="n">
        <v>0</v>
      </c>
      <c r="C27" s="12" t="s">
        <v>28</v>
      </c>
    </row>
    <row r="28" customFormat="false" ht="15" hidden="false" customHeight="true" outlineLevel="0" collapsed="false">
      <c r="A28" s="19" t="s">
        <v>29</v>
      </c>
      <c r="B28" s="17" t="n">
        <v>0.51</v>
      </c>
      <c r="C28" s="12" t="s">
        <v>30</v>
      </c>
    </row>
    <row r="29" customFormat="false" ht="15" hidden="false" customHeight="true" outlineLevel="0" collapsed="false">
      <c r="A29" s="19" t="s">
        <v>31</v>
      </c>
      <c r="B29" s="17" t="n">
        <v>0.51</v>
      </c>
      <c r="C29" s="12" t="s">
        <v>32</v>
      </c>
    </row>
    <row r="30" customFormat="false" ht="15" hidden="false" customHeight="true" outlineLevel="0" collapsed="false">
      <c r="A30" s="19" t="s">
        <v>33</v>
      </c>
      <c r="B30" s="17" t="n">
        <v>0.47</v>
      </c>
      <c r="C30" s="12" t="s">
        <v>34</v>
      </c>
    </row>
    <row r="31" customFormat="false" ht="15" hidden="false" customHeight="true" outlineLevel="0" collapsed="false">
      <c r="A31" s="19" t="s">
        <v>35</v>
      </c>
      <c r="B31" s="17" t="n">
        <v>0.51</v>
      </c>
      <c r="C31" s="12" t="s">
        <v>36</v>
      </c>
    </row>
    <row r="32" customFormat="false" ht="15" hidden="false" customHeight="true" outlineLevel="0" collapsed="false">
      <c r="A32" s="19" t="s">
        <v>37</v>
      </c>
      <c r="B32" s="17" t="n">
        <v>0.6</v>
      </c>
      <c r="C32" s="12" t="s">
        <v>38</v>
      </c>
    </row>
    <row r="33" customFormat="false" ht="15" hidden="false" customHeight="true" outlineLevel="0" collapsed="false">
      <c r="A33" s="19" t="s">
        <v>39</v>
      </c>
      <c r="B33" s="17" t="n">
        <v>6.67</v>
      </c>
      <c r="C33" s="12" t="s">
        <v>40</v>
      </c>
    </row>
    <row r="36" customFormat="false" ht="17.25" hidden="false" customHeight="true" outlineLevel="0" collapsed="false">
      <c r="A36" s="2" t="s">
        <v>41</v>
      </c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true" outlineLevel="0" collapsed="false">
      <c r="A37" s="18" t="s">
        <v>42</v>
      </c>
      <c r="B37" s="18" t="s">
        <v>43</v>
      </c>
    </row>
    <row r="38" customFormat="false" ht="15" hidden="false" customHeight="true" outlineLevel="0" collapsed="false">
      <c r="A38" s="19" t="s">
        <v>44</v>
      </c>
      <c r="B38" s="17" t="n">
        <v>0</v>
      </c>
    </row>
    <row r="39" customFormat="false" ht="15" hidden="false" customHeight="true" outlineLevel="0" collapsed="false">
      <c r="A39" s="19" t="s">
        <v>45</v>
      </c>
      <c r="B39" s="17" t="n">
        <v>0.71</v>
      </c>
    </row>
    <row r="40" customFormat="false" ht="15" hidden="false" customHeight="true" outlineLevel="0" collapsed="false">
      <c r="A40" s="19" t="s">
        <v>46</v>
      </c>
      <c r="B40" s="17" t="n">
        <v>0.77</v>
      </c>
    </row>
    <row r="43" customFormat="false" ht="17.25" hidden="false" customHeight="true" outlineLevel="0" collapsed="false">
      <c r="A43" s="2" t="s">
        <v>47</v>
      </c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true" outlineLevel="0" collapsed="false">
      <c r="A44" s="18" t="s">
        <v>48</v>
      </c>
      <c r="B44" s="18" t="s">
        <v>43</v>
      </c>
    </row>
    <row r="45" customFormat="false" ht="15" hidden="false" customHeight="true" outlineLevel="0" collapsed="false">
      <c r="A45" s="19" t="s">
        <v>44</v>
      </c>
      <c r="B45" s="17" t="n">
        <v>0</v>
      </c>
    </row>
    <row r="46" customFormat="false" ht="15" hidden="false" customHeight="true" outlineLevel="0" collapsed="false">
      <c r="A46" s="19" t="s">
        <v>49</v>
      </c>
      <c r="B46" s="17" t="n">
        <v>0.14</v>
      </c>
    </row>
    <row r="47" customFormat="false" ht="15" hidden="false" customHeight="true" outlineLevel="0" collapsed="false">
      <c r="A47" s="19" t="s">
        <v>50</v>
      </c>
      <c r="B47" s="17" t="n">
        <v>0.77</v>
      </c>
    </row>
    <row r="50" customFormat="false" ht="17.25" hidden="false" customHeight="true" outlineLevel="0" collapsed="false">
      <c r="A50" s="2" t="s">
        <v>51</v>
      </c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true" outlineLevel="0" collapsed="false">
      <c r="A51" s="18" t="s">
        <v>52</v>
      </c>
      <c r="B51" s="18" t="s">
        <v>43</v>
      </c>
    </row>
    <row r="52" customFormat="false" ht="15" hidden="false" customHeight="true" outlineLevel="0" collapsed="false">
      <c r="A52" s="19" t="s">
        <v>44</v>
      </c>
      <c r="B52" s="17" t="n">
        <v>0</v>
      </c>
    </row>
    <row r="53" customFormat="false" ht="15" hidden="false" customHeight="true" outlineLevel="0" collapsed="false">
      <c r="A53" s="19" t="s">
        <v>53</v>
      </c>
      <c r="B53" s="17" t="n">
        <v>4.33</v>
      </c>
    </row>
    <row r="54" customFormat="false" ht="15" hidden="false" customHeight="true" outlineLevel="0" collapsed="false">
      <c r="A54" s="19" t="s">
        <v>54</v>
      </c>
      <c r="B54" s="17" t="n">
        <v>3.33</v>
      </c>
    </row>
    <row r="55" customFormat="false" ht="15" hidden="false" customHeight="true" outlineLevel="0" collapsed="false">
      <c r="A55" s="19" t="s">
        <v>55</v>
      </c>
      <c r="B55" s="17" t="n">
        <v>3.67</v>
      </c>
    </row>
    <row r="56" customFormat="false" ht="15" hidden="false" customHeight="true" outlineLevel="0" collapsed="false">
      <c r="A56" s="19" t="s">
        <v>56</v>
      </c>
      <c r="B56" s="17" t="n">
        <v>3.67</v>
      </c>
    </row>
    <row r="57" customFormat="false" ht="15" hidden="false" customHeight="true" outlineLevel="0" collapsed="false">
      <c r="A57" s="19" t="s">
        <v>57</v>
      </c>
      <c r="B57" s="17" t="n">
        <v>3.14</v>
      </c>
    </row>
    <row r="60" customFormat="false" ht="17.25" hidden="false" customHeight="true" outlineLevel="0" collapsed="false">
      <c r="A60" s="2" t="s">
        <v>58</v>
      </c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true" outlineLevel="0" collapsed="false">
      <c r="A61" s="3" t="s">
        <v>59</v>
      </c>
      <c r="B61" s="3"/>
      <c r="C61" s="3"/>
      <c r="D61" s="3"/>
      <c r="E61" s="3"/>
      <c r="F61" s="3"/>
      <c r="G61" s="3"/>
      <c r="H61" s="3"/>
      <c r="I61" s="3"/>
    </row>
    <row r="63" customFormat="false" ht="15" hidden="false" customHeight="true" outlineLevel="0" collapsed="false">
      <c r="A63" s="4" t="s">
        <v>60</v>
      </c>
      <c r="B63" s="20" t="s">
        <v>29</v>
      </c>
    </row>
    <row r="64" customFormat="false" ht="15" hidden="false" customHeight="true" outlineLevel="0" collapsed="false">
      <c r="A64" s="4" t="s">
        <v>61</v>
      </c>
      <c r="B64" s="20" t="s">
        <v>44</v>
      </c>
    </row>
    <row r="65" customFormat="false" ht="15" hidden="false" customHeight="true" outlineLevel="0" collapsed="false">
      <c r="A65" s="4" t="s">
        <v>62</v>
      </c>
      <c r="B65" s="20" t="s">
        <v>44</v>
      </c>
    </row>
    <row r="66" customFormat="false" ht="15" hidden="false" customHeight="true" outlineLevel="0" collapsed="false">
      <c r="A66" s="4" t="s">
        <v>63</v>
      </c>
      <c r="B66" s="20" t="s">
        <v>44</v>
      </c>
    </row>
    <row r="67" customFormat="false" ht="15" hidden="false" customHeight="true" outlineLevel="0" collapsed="false">
      <c r="A67" s="4" t="s">
        <v>64</v>
      </c>
      <c r="B67" s="21" t="n">
        <v>100</v>
      </c>
    </row>
    <row r="69" customFormat="false" ht="15" hidden="false" customHeight="true" outlineLevel="0" collapsed="false">
      <c r="A69" s="13" t="s">
        <v>65</v>
      </c>
      <c r="B69" s="15" t="n">
        <f aca="false">$B$5</f>
        <v>5.36</v>
      </c>
    </row>
    <row r="70" customFormat="false" ht="15" hidden="false" customHeight="true" outlineLevel="0" collapsed="false">
      <c r="A70" s="13" t="s">
        <v>66</v>
      </c>
      <c r="B70" s="15" t="n">
        <f aca="false">VLOOKUP(B63,A27:B33,2,FALSE())</f>
        <v>0.51</v>
      </c>
    </row>
    <row r="71" customFormat="false" ht="15" hidden="false" customHeight="true" outlineLevel="0" collapsed="false">
      <c r="A71" s="13" t="s">
        <v>67</v>
      </c>
      <c r="B71" s="15" t="n">
        <f aca="false">VLOOKUP(B64,A38:B40,2,FALSE())</f>
        <v>0</v>
      </c>
    </row>
    <row r="72" customFormat="false" ht="15" hidden="false" customHeight="true" outlineLevel="0" collapsed="false">
      <c r="A72" s="13" t="s">
        <v>68</v>
      </c>
      <c r="B72" s="15" t="n">
        <f aca="false">VLOOKUP(B65,A45:B47,2,FALSE())</f>
        <v>0</v>
      </c>
    </row>
    <row r="73" customFormat="false" ht="15" hidden="false" customHeight="true" outlineLevel="0" collapsed="false">
      <c r="A73" s="13" t="s">
        <v>69</v>
      </c>
      <c r="B73" s="15" t="n">
        <f aca="false">VLOOKUP(B66,A52:B57,2,FALSE())</f>
        <v>0</v>
      </c>
    </row>
    <row r="74" customFormat="false" ht="15" hidden="false" customHeight="true" outlineLevel="0" collapsed="false">
      <c r="A74" s="13" t="s">
        <v>70</v>
      </c>
      <c r="B74" s="15" t="n">
        <f aca="false">$B$5+VLOOKUP(B63,A27:B33,2,FALSE())+VLOOKUP(B64,A38:B40,2,FALSE())+VLOOKUP(B65,A45:B47,2,FALSE())+VLOOKUP(B66,A52:B57,2,FALSE())</f>
        <v>5.87</v>
      </c>
    </row>
    <row r="75" customFormat="false" ht="15" hidden="false" customHeight="true" outlineLevel="0" collapsed="false">
      <c r="A75" s="13" t="s">
        <v>71</v>
      </c>
      <c r="B75" s="14" t="n">
        <f aca="false">LOOKUP(B67,A8:A20,B8:B20)</f>
        <v>0.511</v>
      </c>
    </row>
    <row r="76" customFormat="false" ht="15" hidden="false" customHeight="true" outlineLevel="0" collapsed="false">
      <c r="A76" s="13" t="s">
        <v>72</v>
      </c>
      <c r="B76" s="15" t="n">
        <f aca="false">($B$5+VLOOKUP(B63,A27:B33,2,FALSE())+VLOOKUP(B64,A38:B40,2,FALSE())+VLOOKUP(B65,A45:B47,2,FALSE())+VLOOKUP(B66,A52:B57,2,FALSE()))*(1-LOOKUP(B67,A8:A20,B8:B20))</f>
        <v>2.87043</v>
      </c>
    </row>
    <row r="77" customFormat="false" ht="15" hidden="false" customHeight="true" outlineLevel="0" collapsed="false">
      <c r="A77" s="13" t="s">
        <v>73</v>
      </c>
      <c r="B77" s="15" t="n">
        <f aca="false">B67*($B$5+VLOOKUP(B63,A27:B33,2,FALSE())+VLOOKUP(B64,A38:B40,2,FALSE())+VLOOKUP(B65,A45:B47,2,FALSE())+VLOOKUP(B66,A52:B57,2,FALSE()))*(1-LOOKUP(B67,A8:A20,B8:B20))</f>
        <v>287.043</v>
      </c>
    </row>
    <row r="80" customFormat="false" ht="17.25" hidden="false" customHeight="true" outlineLevel="0" collapsed="false">
      <c r="A80" s="2" t="s">
        <v>74</v>
      </c>
      <c r="B80" s="2"/>
      <c r="D80" s="2" t="s">
        <v>75</v>
      </c>
      <c r="E80" s="2"/>
      <c r="G80" s="2" t="s">
        <v>76</v>
      </c>
      <c r="H80" s="2"/>
    </row>
    <row r="81" customFormat="false" ht="15" hidden="false" customHeight="true" outlineLevel="0" collapsed="false">
      <c r="A81" s="3" t="s">
        <v>90</v>
      </c>
      <c r="B81" s="3"/>
      <c r="D81" s="3" t="s">
        <v>91</v>
      </c>
      <c r="E81" s="3"/>
      <c r="G81" s="3" t="s">
        <v>91</v>
      </c>
      <c r="H81" s="3"/>
    </row>
    <row r="83" customFormat="false" ht="15" hidden="false" customHeight="true" outlineLevel="0" collapsed="false">
      <c r="A83" s="18" t="s">
        <v>79</v>
      </c>
      <c r="B83" s="18" t="s">
        <v>25</v>
      </c>
      <c r="D83" s="18" t="s">
        <v>79</v>
      </c>
      <c r="E83" s="18" t="s">
        <v>25</v>
      </c>
      <c r="G83" s="18" t="s">
        <v>79</v>
      </c>
      <c r="H83" s="18" t="s">
        <v>25</v>
      </c>
    </row>
    <row r="84" customFormat="false" ht="15" hidden="false" customHeight="true" outlineLevel="0" collapsed="false">
      <c r="A84" s="22" t="n">
        <v>8</v>
      </c>
      <c r="B84" s="17" t="n">
        <v>0</v>
      </c>
      <c r="D84" s="22" t="n">
        <v>8</v>
      </c>
      <c r="E84" s="17" t="n">
        <v>0</v>
      </c>
      <c r="G84" s="22" t="n">
        <v>8</v>
      </c>
      <c r="H84" s="17" t="n">
        <v>0</v>
      </c>
    </row>
    <row r="85" customFormat="false" ht="15" hidden="false" customHeight="true" outlineLevel="0" collapsed="false">
      <c r="A85" s="22" t="n">
        <v>12</v>
      </c>
      <c r="B85" s="17" t="n">
        <v>0.17</v>
      </c>
      <c r="D85" s="22" t="n">
        <v>12</v>
      </c>
      <c r="E85" s="17" t="n">
        <v>0.18</v>
      </c>
      <c r="G85" s="22" t="n">
        <v>12</v>
      </c>
      <c r="H85" s="17" t="n">
        <v>0.18</v>
      </c>
    </row>
    <row r="86" customFormat="false" ht="15" hidden="false" customHeight="true" outlineLevel="0" collapsed="false">
      <c r="A86" s="22" t="n">
        <v>16</v>
      </c>
      <c r="B86" s="17" t="n">
        <v>0.34</v>
      </c>
      <c r="D86" s="22" t="n">
        <v>16</v>
      </c>
      <c r="E86" s="17" t="n">
        <v>0.36</v>
      </c>
      <c r="G86" s="22" t="n">
        <v>16</v>
      </c>
      <c r="H86" s="17" t="n">
        <v>0.36</v>
      </c>
    </row>
    <row r="87" customFormat="false" ht="15" hidden="false" customHeight="true" outlineLevel="0" collapsed="false">
      <c r="A87" s="22" t="n">
        <v>20</v>
      </c>
      <c r="B87" s="17" t="n">
        <v>0.51</v>
      </c>
      <c r="D87" s="22" t="n">
        <v>20</v>
      </c>
      <c r="E87" s="17" t="n">
        <v>0.54</v>
      </c>
      <c r="G87" s="22" t="n">
        <v>20</v>
      </c>
      <c r="H87" s="17" t="n">
        <v>0.54</v>
      </c>
    </row>
    <row r="88" customFormat="false" ht="15" hidden="false" customHeight="true" outlineLevel="0" collapsed="false">
      <c r="A88" s="22" t="n">
        <v>24</v>
      </c>
      <c r="B88" s="17" t="n">
        <v>0.68</v>
      </c>
      <c r="D88" s="22" t="n">
        <v>24</v>
      </c>
      <c r="E88" s="17" t="n">
        <v>0.72</v>
      </c>
      <c r="G88" s="22" t="n">
        <v>24</v>
      </c>
      <c r="H88" s="17" t="n">
        <v>0.72</v>
      </c>
    </row>
    <row r="89" customFormat="false" ht="15" hidden="false" customHeight="true" outlineLevel="0" collapsed="false">
      <c r="A89" s="22" t="n">
        <v>28</v>
      </c>
      <c r="B89" s="17" t="n">
        <v>0.85</v>
      </c>
      <c r="D89" s="22" t="n">
        <v>28</v>
      </c>
      <c r="E89" s="17" t="n">
        <v>0.9</v>
      </c>
      <c r="G89" s="22" t="n">
        <v>28</v>
      </c>
      <c r="H89" s="17" t="n">
        <v>0.9</v>
      </c>
    </row>
    <row r="90" customFormat="false" ht="15" hidden="false" customHeight="true" outlineLevel="0" collapsed="false">
      <c r="A90" s="22" t="n">
        <v>32</v>
      </c>
      <c r="B90" s="17" t="n">
        <v>1.02</v>
      </c>
      <c r="D90" s="22" t="n">
        <v>32</v>
      </c>
      <c r="E90" s="17" t="n">
        <v>1.08</v>
      </c>
      <c r="G90" s="22" t="n">
        <v>32</v>
      </c>
      <c r="H90" s="17" t="n">
        <v>1.08</v>
      </c>
    </row>
    <row r="91" customFormat="false" ht="15" hidden="false" customHeight="true" outlineLevel="0" collapsed="false">
      <c r="A91" s="22" t="n">
        <v>36</v>
      </c>
      <c r="B91" s="17" t="n">
        <v>1.19</v>
      </c>
      <c r="D91" s="22" t="n">
        <v>36</v>
      </c>
      <c r="E91" s="17" t="n">
        <v>1.26</v>
      </c>
      <c r="G91" s="22" t="n">
        <v>36</v>
      </c>
      <c r="H91" s="17" t="n">
        <v>1.26</v>
      </c>
    </row>
    <row r="92" customFormat="false" ht="15" hidden="false" customHeight="true" outlineLevel="0" collapsed="false">
      <c r="A92" s="22" t="n">
        <v>40</v>
      </c>
      <c r="B92" s="17" t="n">
        <v>1.36</v>
      </c>
      <c r="D92" s="22" t="n">
        <v>40</v>
      </c>
      <c r="E92" s="17" t="n">
        <v>1.44</v>
      </c>
      <c r="G92" s="22" t="n">
        <v>40</v>
      </c>
      <c r="H92" s="17" t="n">
        <v>1.44</v>
      </c>
    </row>
    <row r="93" customFormat="false" ht="15" hidden="false" customHeight="true" outlineLevel="0" collapsed="false">
      <c r="A93" s="22" t="n">
        <v>44</v>
      </c>
      <c r="B93" s="17" t="n">
        <v>1.53</v>
      </c>
      <c r="D93" s="22" t="n">
        <v>44</v>
      </c>
      <c r="E93" s="17" t="n">
        <v>1.62</v>
      </c>
      <c r="G93" s="22" t="n">
        <v>44</v>
      </c>
      <c r="H93" s="17" t="n">
        <v>1.62</v>
      </c>
    </row>
    <row r="94" customFormat="false" ht="15" hidden="false" customHeight="true" outlineLevel="0" collapsed="false">
      <c r="A94" s="22" t="n">
        <v>48</v>
      </c>
      <c r="B94" s="17" t="n">
        <v>1.7</v>
      </c>
      <c r="D94" s="22" t="n">
        <v>48</v>
      </c>
      <c r="E94" s="17" t="n">
        <v>1.8</v>
      </c>
      <c r="G94" s="22" t="n">
        <v>48</v>
      </c>
      <c r="H94" s="17" t="n">
        <v>1.8</v>
      </c>
    </row>
    <row r="95" customFormat="false" ht="15" hidden="false" customHeight="true" outlineLevel="0" collapsed="false">
      <c r="A95" s="22" t="n">
        <v>52</v>
      </c>
      <c r="B95" s="17" t="n">
        <v>1.87</v>
      </c>
      <c r="D95" s="22" t="n">
        <v>52</v>
      </c>
      <c r="E95" s="17" t="n">
        <v>1.98</v>
      </c>
      <c r="G95" s="22" t="n">
        <v>52</v>
      </c>
      <c r="H95" s="17" t="n">
        <v>1.98</v>
      </c>
    </row>
    <row r="98" customFormat="false" ht="17.25" hidden="false" customHeight="true" outlineLevel="0" collapsed="false">
      <c r="A98" s="2" t="s">
        <v>80</v>
      </c>
      <c r="B98" s="2"/>
      <c r="D98" s="2" t="s">
        <v>81</v>
      </c>
      <c r="E98" s="2"/>
      <c r="G98" s="2" t="s">
        <v>82</v>
      </c>
      <c r="H98" s="2"/>
    </row>
    <row r="99" customFormat="false" ht="15" hidden="false" customHeight="true" outlineLevel="0" collapsed="false">
      <c r="A99" s="3" t="s">
        <v>92</v>
      </c>
      <c r="B99" s="3"/>
      <c r="D99" s="3" t="s">
        <v>93</v>
      </c>
      <c r="E99" s="3"/>
      <c r="G99" s="3" t="s">
        <v>93</v>
      </c>
      <c r="H99" s="3"/>
    </row>
    <row r="101" customFormat="false" ht="15" hidden="false" customHeight="true" outlineLevel="0" collapsed="false">
      <c r="A101" s="18" t="s">
        <v>79</v>
      </c>
      <c r="B101" s="18" t="s">
        <v>25</v>
      </c>
      <c r="D101" s="18" t="s">
        <v>79</v>
      </c>
      <c r="E101" s="18" t="s">
        <v>25</v>
      </c>
      <c r="G101" s="18" t="s">
        <v>79</v>
      </c>
      <c r="H101" s="18" t="s">
        <v>25</v>
      </c>
    </row>
    <row r="102" customFormat="false" ht="15" hidden="false" customHeight="true" outlineLevel="0" collapsed="false">
      <c r="A102" s="22" t="n">
        <v>8</v>
      </c>
      <c r="B102" s="17" t="n">
        <v>0</v>
      </c>
      <c r="D102" s="22" t="n">
        <v>8</v>
      </c>
      <c r="E102" s="17" t="n">
        <v>0</v>
      </c>
      <c r="G102" s="22" t="n">
        <v>8</v>
      </c>
      <c r="H102" s="17" t="n">
        <v>0</v>
      </c>
    </row>
    <row r="103" customFormat="false" ht="15" hidden="false" customHeight="true" outlineLevel="0" collapsed="false">
      <c r="A103" s="22" t="n">
        <v>12</v>
      </c>
      <c r="B103" s="17" t="n">
        <v>0.26</v>
      </c>
      <c r="D103" s="22" t="n">
        <v>12</v>
      </c>
      <c r="E103" s="17" t="n">
        <v>0.28</v>
      </c>
      <c r="G103" s="22" t="n">
        <v>12</v>
      </c>
      <c r="H103" s="17" t="n">
        <v>0.28</v>
      </c>
    </row>
    <row r="104" customFormat="false" ht="15" hidden="false" customHeight="true" outlineLevel="0" collapsed="false">
      <c r="A104" s="22" t="n">
        <v>16</v>
      </c>
      <c r="B104" s="17" t="n">
        <v>0.52</v>
      </c>
      <c r="D104" s="22" t="n">
        <v>16</v>
      </c>
      <c r="E104" s="17" t="n">
        <v>0.56</v>
      </c>
      <c r="G104" s="22" t="n">
        <v>16</v>
      </c>
      <c r="H104" s="17" t="n">
        <v>0.56</v>
      </c>
    </row>
    <row r="105" customFormat="false" ht="15" hidden="false" customHeight="true" outlineLevel="0" collapsed="false">
      <c r="A105" s="22" t="n">
        <v>20</v>
      </c>
      <c r="B105" s="17" t="n">
        <v>0.78</v>
      </c>
      <c r="D105" s="22" t="n">
        <v>20</v>
      </c>
      <c r="E105" s="17" t="n">
        <v>0.84</v>
      </c>
      <c r="G105" s="22" t="n">
        <v>20</v>
      </c>
      <c r="H105" s="17" t="n">
        <v>0.84</v>
      </c>
    </row>
    <row r="106" customFormat="false" ht="15" hidden="false" customHeight="true" outlineLevel="0" collapsed="false">
      <c r="A106" s="22" t="n">
        <v>24</v>
      </c>
      <c r="B106" s="17" t="n">
        <v>1.04</v>
      </c>
      <c r="D106" s="22" t="n">
        <v>24</v>
      </c>
      <c r="E106" s="17" t="n">
        <v>1.12</v>
      </c>
      <c r="G106" s="22" t="n">
        <v>24</v>
      </c>
      <c r="H106" s="17" t="n">
        <v>1.12</v>
      </c>
    </row>
    <row r="107" customFormat="false" ht="15" hidden="false" customHeight="true" outlineLevel="0" collapsed="false">
      <c r="A107" s="22" t="n">
        <v>28</v>
      </c>
      <c r="B107" s="17" t="n">
        <v>1.3</v>
      </c>
      <c r="D107" s="22" t="n">
        <v>28</v>
      </c>
      <c r="E107" s="17" t="n">
        <v>1.4</v>
      </c>
      <c r="G107" s="22" t="n">
        <v>28</v>
      </c>
      <c r="H107" s="17" t="n">
        <v>1.4</v>
      </c>
    </row>
    <row r="108" customFormat="false" ht="15" hidden="false" customHeight="true" outlineLevel="0" collapsed="false">
      <c r="A108" s="22" t="n">
        <v>32</v>
      </c>
      <c r="B108" s="17" t="n">
        <v>1.56</v>
      </c>
      <c r="D108" s="22" t="n">
        <v>32</v>
      </c>
      <c r="E108" s="17" t="n">
        <v>1.68</v>
      </c>
      <c r="G108" s="22" t="n">
        <v>32</v>
      </c>
      <c r="H108" s="17" t="n">
        <v>1.68</v>
      </c>
    </row>
    <row r="109" customFormat="false" ht="15" hidden="false" customHeight="true" outlineLevel="0" collapsed="false">
      <c r="A109" s="22" t="n">
        <v>36</v>
      </c>
      <c r="B109" s="17" t="n">
        <v>1.82</v>
      </c>
      <c r="D109" s="22" t="n">
        <v>36</v>
      </c>
      <c r="E109" s="17" t="n">
        <v>1.96</v>
      </c>
      <c r="G109" s="22" t="n">
        <v>36</v>
      </c>
      <c r="H109" s="17" t="n">
        <v>1.96</v>
      </c>
    </row>
    <row r="110" customFormat="false" ht="15" hidden="false" customHeight="true" outlineLevel="0" collapsed="false">
      <c r="A110" s="22" t="n">
        <v>40</v>
      </c>
      <c r="B110" s="17" t="n">
        <v>2.08</v>
      </c>
      <c r="D110" s="22" t="n">
        <v>40</v>
      </c>
      <c r="E110" s="17" t="n">
        <v>2.24</v>
      </c>
      <c r="G110" s="22" t="n">
        <v>40</v>
      </c>
      <c r="H110" s="17" t="n">
        <v>2.24</v>
      </c>
    </row>
    <row r="111" customFormat="false" ht="15" hidden="false" customHeight="true" outlineLevel="0" collapsed="false">
      <c r="A111" s="22" t="n">
        <v>44</v>
      </c>
      <c r="B111" s="17" t="n">
        <v>2.34</v>
      </c>
      <c r="D111" s="22" t="n">
        <v>44</v>
      </c>
      <c r="E111" s="17" t="n">
        <v>2.52</v>
      </c>
      <c r="G111" s="22" t="n">
        <v>44</v>
      </c>
      <c r="H111" s="17" t="n">
        <v>2.52</v>
      </c>
    </row>
    <row r="112" customFormat="false" ht="15" hidden="false" customHeight="true" outlineLevel="0" collapsed="false">
      <c r="A112" s="22" t="n">
        <v>48</v>
      </c>
      <c r="B112" s="17" t="n">
        <v>2.6</v>
      </c>
      <c r="D112" s="22" t="n">
        <v>48</v>
      </c>
      <c r="E112" s="17" t="n">
        <v>2.8</v>
      </c>
      <c r="G112" s="22" t="n">
        <v>48</v>
      </c>
      <c r="H112" s="17" t="n">
        <v>2.8</v>
      </c>
    </row>
    <row r="113" customFormat="false" ht="15" hidden="false" customHeight="true" outlineLevel="0" collapsed="false">
      <c r="A113" s="22" t="n">
        <v>52</v>
      </c>
      <c r="B113" s="17" t="n">
        <v>2.86</v>
      </c>
      <c r="D113" s="22" t="n">
        <v>52</v>
      </c>
      <c r="E113" s="17" t="n">
        <v>3.08</v>
      </c>
      <c r="G113" s="22" t="n">
        <v>52</v>
      </c>
      <c r="H113" s="17" t="n">
        <v>3.08</v>
      </c>
    </row>
  </sheetData>
  <mergeCells count="24">
    <mergeCell ref="A1:I1"/>
    <mergeCell ref="A2:I2"/>
    <mergeCell ref="A3:I3"/>
    <mergeCell ref="C5:I5"/>
    <mergeCell ref="K7:L7"/>
    <mergeCell ref="A23:I23"/>
    <mergeCell ref="A24:I24"/>
    <mergeCell ref="A36:I36"/>
    <mergeCell ref="A43:I43"/>
    <mergeCell ref="A50:I50"/>
    <mergeCell ref="A60:I60"/>
    <mergeCell ref="A61:I61"/>
    <mergeCell ref="A80:B80"/>
    <mergeCell ref="D80:E80"/>
    <mergeCell ref="G80:H80"/>
    <mergeCell ref="A81:B81"/>
    <mergeCell ref="D81:E81"/>
    <mergeCell ref="G81:H81"/>
    <mergeCell ref="A98:B98"/>
    <mergeCell ref="D98:E98"/>
    <mergeCell ref="G98:H98"/>
    <mergeCell ref="A99:B99"/>
    <mergeCell ref="D99:E99"/>
    <mergeCell ref="G99:H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5" min="3" style="1" width="16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94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95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 t="s">
        <v>96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5" t="n">
        <v>5.59</v>
      </c>
      <c r="C5" s="3" t="s">
        <v>97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K7" s="7" t="s">
        <v>14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5.59</v>
      </c>
      <c r="D8" s="10" t="n">
        <f aca="false">C8*(1-B8)</f>
        <v>5.59</v>
      </c>
      <c r="E8" s="11" t="n">
        <f aca="false">A8*C8</f>
        <v>5.59</v>
      </c>
      <c r="F8" s="11" t="n">
        <f aca="false">A8*D8</f>
        <v>5.59</v>
      </c>
      <c r="G8" s="11" t="n">
        <f aca="false">E8-F8</f>
        <v>0</v>
      </c>
      <c r="H8" s="10" t="n">
        <f aca="false">C8-D8</f>
        <v>0</v>
      </c>
      <c r="I8" s="12" t="s">
        <v>15</v>
      </c>
      <c r="K8" s="13" t="s">
        <v>16</v>
      </c>
      <c r="L8" s="14" t="n">
        <f aca="false">MAX(B8:B20)</f>
        <v>0.66</v>
      </c>
    </row>
    <row r="9" customFormat="false" ht="15" hidden="false" customHeight="true" outlineLevel="0" collapsed="false">
      <c r="A9" s="8" t="n">
        <v>2</v>
      </c>
      <c r="B9" s="9" t="n">
        <v>0.056</v>
      </c>
      <c r="C9" s="10" t="n">
        <f aca="false">$B$5</f>
        <v>5.59</v>
      </c>
      <c r="D9" s="10" t="n">
        <f aca="false">C9*(1-B9)</f>
        <v>5.27696</v>
      </c>
      <c r="E9" s="11" t="n">
        <f aca="false">A9*C9</f>
        <v>11.18</v>
      </c>
      <c r="F9" s="11" t="n">
        <f aca="false">A9*D9</f>
        <v>10.55392</v>
      </c>
      <c r="G9" s="11" t="n">
        <f aca="false">E9-F9</f>
        <v>0.62608</v>
      </c>
      <c r="H9" s="10" t="n">
        <f aca="false">C9-D9</f>
        <v>0.31304</v>
      </c>
      <c r="I9" s="12" t="s">
        <v>15</v>
      </c>
      <c r="K9" s="13" t="s">
        <v>17</v>
      </c>
      <c r="L9" s="15" t="n">
        <f aca="false">MIN(D8:D20)</f>
        <v>1.9006</v>
      </c>
    </row>
    <row r="10" customFormat="false" ht="15" hidden="false" customHeight="true" outlineLevel="0" collapsed="false">
      <c r="A10" s="8" t="n">
        <v>5</v>
      </c>
      <c r="B10" s="9" t="n">
        <v>0.081</v>
      </c>
      <c r="C10" s="10" t="n">
        <f aca="false">$B$5</f>
        <v>5.59</v>
      </c>
      <c r="D10" s="10" t="n">
        <f aca="false">C10*(1-B10)</f>
        <v>5.13721</v>
      </c>
      <c r="E10" s="11" t="n">
        <f aca="false">A10*C10</f>
        <v>27.95</v>
      </c>
      <c r="F10" s="11" t="n">
        <f aca="false">A10*D10</f>
        <v>25.68605</v>
      </c>
      <c r="G10" s="11" t="n">
        <f aca="false">E10-F10</f>
        <v>2.26395</v>
      </c>
      <c r="H10" s="10" t="n">
        <f aca="false">C10-D10</f>
        <v>0.452789999999999</v>
      </c>
      <c r="I10" s="12" t="s">
        <v>15</v>
      </c>
      <c r="K10" s="13" t="s">
        <v>18</v>
      </c>
      <c r="L10" s="15" t="n">
        <f aca="false">F20</f>
        <v>1900.6</v>
      </c>
    </row>
    <row r="11" customFormat="false" ht="15" hidden="false" customHeight="true" outlineLevel="0" collapsed="false">
      <c r="A11" s="8" t="n">
        <v>20</v>
      </c>
      <c r="B11" s="9" t="n">
        <v>0.215</v>
      </c>
      <c r="C11" s="10" t="n">
        <f aca="false">$B$5</f>
        <v>5.59</v>
      </c>
      <c r="D11" s="10" t="n">
        <f aca="false">C11*(1-B11)</f>
        <v>4.38815</v>
      </c>
      <c r="E11" s="11" t="n">
        <f aca="false">A11*C11</f>
        <v>111.8</v>
      </c>
      <c r="F11" s="11" t="n">
        <f aca="false">A11*D11</f>
        <v>87.763</v>
      </c>
      <c r="G11" s="11" t="n">
        <f aca="false">E11-F11</f>
        <v>24.037</v>
      </c>
      <c r="H11" s="10" t="n">
        <f aca="false">C11-D11</f>
        <v>1.20185</v>
      </c>
      <c r="I11" s="12" t="s">
        <v>15</v>
      </c>
      <c r="K11" s="13" t="s">
        <v>19</v>
      </c>
      <c r="L11" s="15" t="n">
        <f aca="false">G20</f>
        <v>3689.4</v>
      </c>
    </row>
    <row r="12" customFormat="false" ht="15" hidden="false" customHeight="true" outlineLevel="0" collapsed="false">
      <c r="A12" s="8" t="n">
        <v>25</v>
      </c>
      <c r="B12" s="9" t="n">
        <v>0.271</v>
      </c>
      <c r="C12" s="10" t="n">
        <f aca="false">$B$5</f>
        <v>5.59</v>
      </c>
      <c r="D12" s="10" t="n">
        <f aca="false">C12*(1-B12)</f>
        <v>4.07511</v>
      </c>
      <c r="E12" s="11" t="n">
        <f aca="false">A12*C12</f>
        <v>139.75</v>
      </c>
      <c r="F12" s="11" t="n">
        <f aca="false">A12*D12</f>
        <v>101.87775</v>
      </c>
      <c r="G12" s="11" t="n">
        <f aca="false">E12-F12</f>
        <v>37.87225</v>
      </c>
      <c r="H12" s="10" t="n">
        <f aca="false">C12-D12</f>
        <v>1.51489</v>
      </c>
      <c r="I12" s="12" t="s">
        <v>15</v>
      </c>
    </row>
    <row r="13" customFormat="false" ht="15" hidden="false" customHeight="true" outlineLevel="0" collapsed="false">
      <c r="A13" s="8" t="n">
        <v>50</v>
      </c>
      <c r="B13" s="9" t="n">
        <v>0.343</v>
      </c>
      <c r="C13" s="10" t="n">
        <f aca="false">$B$5</f>
        <v>5.59</v>
      </c>
      <c r="D13" s="10" t="n">
        <f aca="false">C13*(1-B13)</f>
        <v>3.67263</v>
      </c>
      <c r="E13" s="11" t="n">
        <f aca="false">A13*C13</f>
        <v>279.5</v>
      </c>
      <c r="F13" s="11" t="n">
        <f aca="false">A13*D13</f>
        <v>183.6315</v>
      </c>
      <c r="G13" s="11" t="n">
        <f aca="false">E13-F13</f>
        <v>95.8685</v>
      </c>
      <c r="H13" s="10" t="n">
        <f aca="false">C13-D13</f>
        <v>1.91737</v>
      </c>
      <c r="I13" s="12" t="s">
        <v>15</v>
      </c>
    </row>
    <row r="14" customFormat="false" ht="15" hidden="false" customHeight="true" outlineLevel="0" collapsed="false">
      <c r="A14" s="8" t="n">
        <v>75</v>
      </c>
      <c r="B14" s="9" t="n">
        <v>0.372</v>
      </c>
      <c r="C14" s="10" t="n">
        <f aca="false">$B$5</f>
        <v>5.59</v>
      </c>
      <c r="D14" s="10" t="n">
        <f aca="false">C14*(1-B14)</f>
        <v>3.51052</v>
      </c>
      <c r="E14" s="11" t="n">
        <f aca="false">A14*C14</f>
        <v>419.25</v>
      </c>
      <c r="F14" s="11" t="n">
        <f aca="false">A14*D14</f>
        <v>263.289</v>
      </c>
      <c r="G14" s="11" t="n">
        <f aca="false">E14-F14</f>
        <v>155.961</v>
      </c>
      <c r="H14" s="10" t="n">
        <f aca="false">C14-D14</f>
        <v>2.07948</v>
      </c>
      <c r="I14" s="12" t="s">
        <v>15</v>
      </c>
    </row>
    <row r="15" customFormat="false" ht="15" hidden="false" customHeight="true" outlineLevel="0" collapsed="false">
      <c r="A15" s="8" t="n">
        <v>100</v>
      </c>
      <c r="B15" s="9" t="n">
        <v>0.433</v>
      </c>
      <c r="C15" s="10" t="n">
        <f aca="false">$B$5</f>
        <v>5.59</v>
      </c>
      <c r="D15" s="10" t="n">
        <f aca="false">C15*(1-B15)</f>
        <v>3.16953</v>
      </c>
      <c r="E15" s="11" t="n">
        <f aca="false">A15*C15</f>
        <v>559</v>
      </c>
      <c r="F15" s="11" t="n">
        <f aca="false">A15*D15</f>
        <v>316.953</v>
      </c>
      <c r="G15" s="11" t="n">
        <f aca="false">E15-F15</f>
        <v>242.047</v>
      </c>
      <c r="H15" s="10" t="n">
        <f aca="false">C15-D15</f>
        <v>2.42047</v>
      </c>
      <c r="I15" s="12" t="s">
        <v>15</v>
      </c>
    </row>
    <row r="16" customFormat="false" ht="15" hidden="false" customHeight="true" outlineLevel="0" collapsed="false">
      <c r="A16" s="8" t="n">
        <v>250</v>
      </c>
      <c r="B16" s="9" t="n">
        <v>0.514</v>
      </c>
      <c r="C16" s="10" t="n">
        <f aca="false">$B$5</f>
        <v>5.59</v>
      </c>
      <c r="D16" s="10" t="n">
        <f aca="false">C16*(1-B16)</f>
        <v>2.71674</v>
      </c>
      <c r="E16" s="11" t="n">
        <f aca="false">A16*C16</f>
        <v>1397.5</v>
      </c>
      <c r="F16" s="11" t="n">
        <f aca="false">A16*D16</f>
        <v>679.185</v>
      </c>
      <c r="G16" s="11" t="n">
        <f aca="false">E16-F16</f>
        <v>718.315</v>
      </c>
      <c r="H16" s="10" t="n">
        <f aca="false">C16-D16</f>
        <v>2.87326</v>
      </c>
      <c r="I16" s="12" t="s">
        <v>15</v>
      </c>
    </row>
    <row r="17" customFormat="false" ht="15" hidden="false" customHeight="true" outlineLevel="0" collapsed="false">
      <c r="A17" s="8" t="n">
        <v>300</v>
      </c>
      <c r="B17" s="9" t="n">
        <v>0.554</v>
      </c>
      <c r="C17" s="10" t="n">
        <f aca="false">$B$5</f>
        <v>5.59</v>
      </c>
      <c r="D17" s="10" t="n">
        <f aca="false">C17*(1-B17)</f>
        <v>2.49314</v>
      </c>
      <c r="E17" s="11" t="n">
        <f aca="false">A17*C17</f>
        <v>1677</v>
      </c>
      <c r="F17" s="11" t="n">
        <f aca="false">A17*D17</f>
        <v>747.942</v>
      </c>
      <c r="G17" s="11" t="n">
        <f aca="false">E17-F17</f>
        <v>929.058</v>
      </c>
      <c r="H17" s="10" t="n">
        <f aca="false">C17-D17</f>
        <v>3.09686</v>
      </c>
      <c r="I17" s="12" t="s">
        <v>15</v>
      </c>
    </row>
    <row r="18" customFormat="false" ht="15" hidden="false" customHeight="true" outlineLevel="0" collapsed="false">
      <c r="A18" s="8" t="n">
        <v>500</v>
      </c>
      <c r="B18" s="9" t="n">
        <v>0.586</v>
      </c>
      <c r="C18" s="10" t="n">
        <f aca="false">$B$5</f>
        <v>5.59</v>
      </c>
      <c r="D18" s="10" t="n">
        <f aca="false">C18*(1-B18)</f>
        <v>2.31426</v>
      </c>
      <c r="E18" s="11" t="n">
        <f aca="false">A18*C18</f>
        <v>2795</v>
      </c>
      <c r="F18" s="11" t="n">
        <f aca="false">A18*D18</f>
        <v>1157.13</v>
      </c>
      <c r="G18" s="11" t="n">
        <f aca="false">E18-F18</f>
        <v>1637.87</v>
      </c>
      <c r="H18" s="10" t="n">
        <f aca="false">C18-D18</f>
        <v>3.27574</v>
      </c>
      <c r="I18" s="12" t="s">
        <v>15</v>
      </c>
    </row>
    <row r="19" customFormat="false" ht="15" hidden="false" customHeight="true" outlineLevel="0" collapsed="false">
      <c r="A19" s="8" t="n">
        <v>750</v>
      </c>
      <c r="B19" s="9" t="n">
        <v>0.61</v>
      </c>
      <c r="C19" s="10" t="n">
        <f aca="false">$B$5</f>
        <v>5.59</v>
      </c>
      <c r="D19" s="10" t="n">
        <f aca="false">C19*(1-B19)</f>
        <v>2.1801</v>
      </c>
      <c r="E19" s="11" t="n">
        <f aca="false">A19*C19</f>
        <v>4192.5</v>
      </c>
      <c r="F19" s="11" t="n">
        <f aca="false">A19*D19</f>
        <v>1635.075</v>
      </c>
      <c r="G19" s="11" t="n">
        <f aca="false">E19-F19</f>
        <v>2557.425</v>
      </c>
      <c r="H19" s="10" t="n">
        <f aca="false">C19-D19</f>
        <v>3.4099</v>
      </c>
      <c r="I19" s="12" t="s">
        <v>15</v>
      </c>
    </row>
    <row r="20" customFormat="false" ht="15" hidden="false" customHeight="true" outlineLevel="0" collapsed="false">
      <c r="A20" s="8" t="n">
        <v>1000</v>
      </c>
      <c r="B20" s="9" t="n">
        <v>0.66</v>
      </c>
      <c r="C20" s="10" t="n">
        <f aca="false">$B$5</f>
        <v>5.59</v>
      </c>
      <c r="D20" s="10" t="n">
        <f aca="false">C20*(1-B20)</f>
        <v>1.9006</v>
      </c>
      <c r="E20" s="11" t="n">
        <f aca="false">A20*C20</f>
        <v>5590</v>
      </c>
      <c r="F20" s="11" t="n">
        <f aca="false">A20*D20</f>
        <v>1900.6</v>
      </c>
      <c r="G20" s="11" t="n">
        <f aca="false">E20-F20</f>
        <v>3689.4</v>
      </c>
      <c r="H20" s="10" t="n">
        <f aca="false">C20-D20</f>
        <v>3.6894</v>
      </c>
      <c r="I20" s="12" t="s">
        <v>15</v>
      </c>
    </row>
    <row r="23" customFormat="false" ht="17.25" hidden="false" customHeight="tru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true" outlineLevel="0" collapsed="false">
      <c r="A24" s="3" t="s">
        <v>89</v>
      </c>
      <c r="B24" s="3"/>
      <c r="C24" s="3"/>
      <c r="D24" s="3"/>
      <c r="E24" s="3"/>
      <c r="F24" s="3"/>
      <c r="G24" s="3"/>
      <c r="H24" s="3"/>
      <c r="I24" s="3"/>
    </row>
    <row r="26" customFormat="false" ht="26.25" hidden="false" customHeight="true" outlineLevel="0" collapsed="false">
      <c r="A26" s="6" t="s">
        <v>24</v>
      </c>
      <c r="B26" s="6" t="s">
        <v>25</v>
      </c>
      <c r="C26" s="6" t="s">
        <v>26</v>
      </c>
    </row>
    <row r="27" customFormat="false" ht="15" hidden="false" customHeight="true" outlineLevel="0" collapsed="false">
      <c r="A27" s="19" t="s">
        <v>27</v>
      </c>
      <c r="B27" s="17" t="n">
        <v>0</v>
      </c>
      <c r="C27" s="12" t="s">
        <v>28</v>
      </c>
    </row>
    <row r="28" customFormat="false" ht="15" hidden="false" customHeight="true" outlineLevel="0" collapsed="false">
      <c r="A28" s="19" t="s">
        <v>29</v>
      </c>
      <c r="B28" s="17" t="n">
        <v>0.51</v>
      </c>
      <c r="C28" s="12" t="s">
        <v>30</v>
      </c>
    </row>
    <row r="29" customFormat="false" ht="15" hidden="false" customHeight="true" outlineLevel="0" collapsed="false">
      <c r="A29" s="19" t="s">
        <v>31</v>
      </c>
      <c r="B29" s="17" t="n">
        <v>0.51</v>
      </c>
      <c r="C29" s="12" t="s">
        <v>32</v>
      </c>
    </row>
    <row r="30" customFormat="false" ht="15" hidden="false" customHeight="true" outlineLevel="0" collapsed="false">
      <c r="A30" s="19" t="s">
        <v>33</v>
      </c>
      <c r="B30" s="17" t="n">
        <v>0.47</v>
      </c>
      <c r="C30" s="12" t="s">
        <v>34</v>
      </c>
    </row>
    <row r="31" customFormat="false" ht="15" hidden="false" customHeight="true" outlineLevel="0" collapsed="false">
      <c r="A31" s="19" t="s">
        <v>35</v>
      </c>
      <c r="B31" s="17" t="n">
        <v>0.51</v>
      </c>
      <c r="C31" s="12" t="s">
        <v>36</v>
      </c>
    </row>
    <row r="32" customFormat="false" ht="15" hidden="false" customHeight="true" outlineLevel="0" collapsed="false">
      <c r="A32" s="19" t="s">
        <v>37</v>
      </c>
      <c r="B32" s="17" t="n">
        <v>0.6</v>
      </c>
      <c r="C32" s="12" t="s">
        <v>38</v>
      </c>
    </row>
    <row r="33" customFormat="false" ht="15" hidden="false" customHeight="true" outlineLevel="0" collapsed="false">
      <c r="A33" s="19" t="s">
        <v>39</v>
      </c>
      <c r="B33" s="17" t="n">
        <v>6.67</v>
      </c>
      <c r="C33" s="12" t="s">
        <v>40</v>
      </c>
    </row>
    <row r="36" customFormat="false" ht="17.25" hidden="false" customHeight="true" outlineLevel="0" collapsed="false">
      <c r="A36" s="2" t="s">
        <v>41</v>
      </c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true" outlineLevel="0" collapsed="false">
      <c r="A37" s="18" t="s">
        <v>42</v>
      </c>
      <c r="B37" s="18" t="s">
        <v>43</v>
      </c>
    </row>
    <row r="38" customFormat="false" ht="15" hidden="false" customHeight="true" outlineLevel="0" collapsed="false">
      <c r="A38" s="19" t="s">
        <v>44</v>
      </c>
      <c r="B38" s="17" t="n">
        <v>0</v>
      </c>
    </row>
    <row r="39" customFormat="false" ht="15" hidden="false" customHeight="true" outlineLevel="0" collapsed="false">
      <c r="A39" s="19" t="s">
        <v>45</v>
      </c>
      <c r="B39" s="17" t="n">
        <v>0.71</v>
      </c>
    </row>
    <row r="40" customFormat="false" ht="15" hidden="false" customHeight="true" outlineLevel="0" collapsed="false">
      <c r="A40" s="19" t="s">
        <v>46</v>
      </c>
      <c r="B40" s="17" t="n">
        <v>0.77</v>
      </c>
    </row>
    <row r="43" customFormat="false" ht="17.25" hidden="false" customHeight="true" outlineLevel="0" collapsed="false">
      <c r="A43" s="2" t="s">
        <v>47</v>
      </c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true" outlineLevel="0" collapsed="false">
      <c r="A44" s="18" t="s">
        <v>48</v>
      </c>
      <c r="B44" s="18" t="s">
        <v>43</v>
      </c>
    </row>
    <row r="45" customFormat="false" ht="15" hidden="false" customHeight="true" outlineLevel="0" collapsed="false">
      <c r="A45" s="19" t="s">
        <v>44</v>
      </c>
      <c r="B45" s="17" t="n">
        <v>0</v>
      </c>
    </row>
    <row r="46" customFormat="false" ht="15" hidden="false" customHeight="true" outlineLevel="0" collapsed="false">
      <c r="A46" s="19" t="s">
        <v>49</v>
      </c>
      <c r="B46" s="17" t="n">
        <v>0.14</v>
      </c>
    </row>
    <row r="47" customFormat="false" ht="15" hidden="false" customHeight="true" outlineLevel="0" collapsed="false">
      <c r="A47" s="19" t="s">
        <v>50</v>
      </c>
      <c r="B47" s="17" t="n">
        <v>0.77</v>
      </c>
    </row>
    <row r="50" customFormat="false" ht="17.25" hidden="false" customHeight="true" outlineLevel="0" collapsed="false">
      <c r="A50" s="2" t="s">
        <v>51</v>
      </c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true" outlineLevel="0" collapsed="false">
      <c r="A51" s="18" t="s">
        <v>52</v>
      </c>
      <c r="B51" s="18" t="s">
        <v>43</v>
      </c>
    </row>
    <row r="52" customFormat="false" ht="15" hidden="false" customHeight="true" outlineLevel="0" collapsed="false">
      <c r="A52" s="19" t="s">
        <v>44</v>
      </c>
      <c r="B52" s="17" t="n">
        <v>0</v>
      </c>
    </row>
    <row r="53" customFormat="false" ht="15" hidden="false" customHeight="true" outlineLevel="0" collapsed="false">
      <c r="A53" s="19" t="s">
        <v>53</v>
      </c>
      <c r="B53" s="17" t="n">
        <v>4.33</v>
      </c>
    </row>
    <row r="54" customFormat="false" ht="15" hidden="false" customHeight="true" outlineLevel="0" collapsed="false">
      <c r="A54" s="19" t="s">
        <v>54</v>
      </c>
      <c r="B54" s="17" t="n">
        <v>3.33</v>
      </c>
    </row>
    <row r="55" customFormat="false" ht="15" hidden="false" customHeight="true" outlineLevel="0" collapsed="false">
      <c r="A55" s="19" t="s">
        <v>55</v>
      </c>
      <c r="B55" s="17" t="n">
        <v>3.67</v>
      </c>
    </row>
    <row r="56" customFormat="false" ht="15" hidden="false" customHeight="true" outlineLevel="0" collapsed="false">
      <c r="A56" s="19" t="s">
        <v>56</v>
      </c>
      <c r="B56" s="17" t="n">
        <v>3.67</v>
      </c>
    </row>
    <row r="57" customFormat="false" ht="15" hidden="false" customHeight="true" outlineLevel="0" collapsed="false">
      <c r="A57" s="19" t="s">
        <v>57</v>
      </c>
      <c r="B57" s="17" t="n">
        <v>3.14</v>
      </c>
    </row>
    <row r="60" customFormat="false" ht="17.25" hidden="false" customHeight="true" outlineLevel="0" collapsed="false">
      <c r="A60" s="2" t="s">
        <v>58</v>
      </c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true" outlineLevel="0" collapsed="false">
      <c r="A61" s="3" t="s">
        <v>59</v>
      </c>
      <c r="B61" s="3"/>
      <c r="C61" s="3"/>
      <c r="D61" s="3"/>
      <c r="E61" s="3"/>
      <c r="F61" s="3"/>
      <c r="G61" s="3"/>
      <c r="H61" s="3"/>
      <c r="I61" s="3"/>
    </row>
    <row r="63" customFormat="false" ht="15" hidden="false" customHeight="true" outlineLevel="0" collapsed="false">
      <c r="A63" s="4" t="s">
        <v>60</v>
      </c>
      <c r="B63" s="20" t="s">
        <v>29</v>
      </c>
    </row>
    <row r="64" customFormat="false" ht="15" hidden="false" customHeight="true" outlineLevel="0" collapsed="false">
      <c r="A64" s="4" t="s">
        <v>61</v>
      </c>
      <c r="B64" s="20" t="s">
        <v>44</v>
      </c>
    </row>
    <row r="65" customFormat="false" ht="15" hidden="false" customHeight="true" outlineLevel="0" collapsed="false">
      <c r="A65" s="4" t="s">
        <v>62</v>
      </c>
      <c r="B65" s="20" t="s">
        <v>44</v>
      </c>
    </row>
    <row r="66" customFormat="false" ht="15" hidden="false" customHeight="true" outlineLevel="0" collapsed="false">
      <c r="A66" s="4" t="s">
        <v>63</v>
      </c>
      <c r="B66" s="20" t="s">
        <v>44</v>
      </c>
    </row>
    <row r="67" customFormat="false" ht="15" hidden="false" customHeight="true" outlineLevel="0" collapsed="false">
      <c r="A67" s="4" t="s">
        <v>64</v>
      </c>
      <c r="B67" s="21" t="n">
        <v>100</v>
      </c>
    </row>
    <row r="69" customFormat="false" ht="15" hidden="false" customHeight="true" outlineLevel="0" collapsed="false">
      <c r="A69" s="13" t="s">
        <v>65</v>
      </c>
      <c r="B69" s="15" t="n">
        <f aca="false">$B$5</f>
        <v>5.59</v>
      </c>
    </row>
    <row r="70" customFormat="false" ht="15" hidden="false" customHeight="true" outlineLevel="0" collapsed="false">
      <c r="A70" s="13" t="s">
        <v>66</v>
      </c>
      <c r="B70" s="15" t="n">
        <f aca="false">VLOOKUP(B63,A27:B33,2,FALSE())</f>
        <v>0.51</v>
      </c>
    </row>
    <row r="71" customFormat="false" ht="15" hidden="false" customHeight="true" outlineLevel="0" collapsed="false">
      <c r="A71" s="13" t="s">
        <v>67</v>
      </c>
      <c r="B71" s="15" t="n">
        <f aca="false">VLOOKUP(B64,A38:B40,2,FALSE())</f>
        <v>0</v>
      </c>
    </row>
    <row r="72" customFormat="false" ht="15" hidden="false" customHeight="true" outlineLevel="0" collapsed="false">
      <c r="A72" s="13" t="s">
        <v>68</v>
      </c>
      <c r="B72" s="15" t="n">
        <f aca="false">VLOOKUP(B65,A45:B47,2,FALSE())</f>
        <v>0</v>
      </c>
    </row>
    <row r="73" customFormat="false" ht="15" hidden="false" customHeight="true" outlineLevel="0" collapsed="false">
      <c r="A73" s="13" t="s">
        <v>69</v>
      </c>
      <c r="B73" s="15" t="n">
        <f aca="false">VLOOKUP(B66,A52:B57,2,FALSE())</f>
        <v>0</v>
      </c>
    </row>
    <row r="74" customFormat="false" ht="15" hidden="false" customHeight="true" outlineLevel="0" collapsed="false">
      <c r="A74" s="13" t="s">
        <v>70</v>
      </c>
      <c r="B74" s="15" t="n">
        <f aca="false">$B$5+VLOOKUP(B63,A27:B33,2,FALSE())+VLOOKUP(B64,A38:B40,2,FALSE())+VLOOKUP(B65,A45:B47,2,FALSE())+VLOOKUP(B66,A52:B57,2,FALSE())</f>
        <v>6.1</v>
      </c>
    </row>
    <row r="75" customFormat="false" ht="15" hidden="false" customHeight="true" outlineLevel="0" collapsed="false">
      <c r="A75" s="13" t="s">
        <v>71</v>
      </c>
      <c r="B75" s="14" t="n">
        <f aca="false">LOOKUP(B67,A8:A20,B8:B20)</f>
        <v>0.433</v>
      </c>
    </row>
    <row r="76" customFormat="false" ht="15" hidden="false" customHeight="true" outlineLevel="0" collapsed="false">
      <c r="A76" s="13" t="s">
        <v>72</v>
      </c>
      <c r="B76" s="15" t="n">
        <f aca="false">($B$5+VLOOKUP(B63,A27:B33,2,FALSE())+VLOOKUP(B64,A38:B40,2,FALSE())+VLOOKUP(B65,A45:B47,2,FALSE())+VLOOKUP(B66,A52:B57,2,FALSE()))*(1-LOOKUP(B67,A8:A20,B8:B20))</f>
        <v>3.4587</v>
      </c>
    </row>
    <row r="77" customFormat="false" ht="15" hidden="false" customHeight="true" outlineLevel="0" collapsed="false">
      <c r="A77" s="13" t="s">
        <v>73</v>
      </c>
      <c r="B77" s="15" t="n">
        <f aca="false">B67*($B$5+VLOOKUP(B63,A27:B33,2,FALSE())+VLOOKUP(B64,A38:B40,2,FALSE())+VLOOKUP(B65,A45:B47,2,FALSE())+VLOOKUP(B66,A52:B57,2,FALSE()))*(1-LOOKUP(B67,A8:A20,B8:B20))</f>
        <v>345.87</v>
      </c>
    </row>
    <row r="80" customFormat="false" ht="17.25" hidden="false" customHeight="true" outlineLevel="0" collapsed="false">
      <c r="A80" s="2" t="s">
        <v>74</v>
      </c>
      <c r="B80" s="2"/>
      <c r="D80" s="2" t="s">
        <v>75</v>
      </c>
      <c r="E80" s="2"/>
      <c r="G80" s="2" t="s">
        <v>76</v>
      </c>
      <c r="H80" s="2"/>
    </row>
    <row r="81" customFormat="false" ht="15" hidden="false" customHeight="true" outlineLevel="0" collapsed="false">
      <c r="A81" s="3" t="s">
        <v>90</v>
      </c>
      <c r="B81" s="3"/>
      <c r="D81" s="3" t="s">
        <v>91</v>
      </c>
      <c r="E81" s="3"/>
      <c r="G81" s="3" t="s">
        <v>91</v>
      </c>
      <c r="H81" s="3"/>
    </row>
    <row r="83" customFormat="false" ht="15" hidden="false" customHeight="true" outlineLevel="0" collapsed="false">
      <c r="A83" s="18" t="s">
        <v>79</v>
      </c>
      <c r="B83" s="18" t="s">
        <v>25</v>
      </c>
      <c r="D83" s="18" t="s">
        <v>79</v>
      </c>
      <c r="E83" s="18" t="s">
        <v>25</v>
      </c>
      <c r="G83" s="18" t="s">
        <v>79</v>
      </c>
      <c r="H83" s="18" t="s">
        <v>25</v>
      </c>
    </row>
    <row r="84" customFormat="false" ht="15" hidden="false" customHeight="true" outlineLevel="0" collapsed="false">
      <c r="A84" s="22" t="n">
        <v>8</v>
      </c>
      <c r="B84" s="17" t="n">
        <v>0</v>
      </c>
      <c r="D84" s="22" t="n">
        <v>8</v>
      </c>
      <c r="E84" s="17" t="n">
        <v>0</v>
      </c>
      <c r="G84" s="22" t="n">
        <v>8</v>
      </c>
      <c r="H84" s="17" t="n">
        <v>0</v>
      </c>
    </row>
    <row r="85" customFormat="false" ht="15" hidden="false" customHeight="true" outlineLevel="0" collapsed="false">
      <c r="A85" s="22" t="n">
        <v>12</v>
      </c>
      <c r="B85" s="17" t="n">
        <v>0.17</v>
      </c>
      <c r="D85" s="22" t="n">
        <v>12</v>
      </c>
      <c r="E85" s="17" t="n">
        <v>0.18</v>
      </c>
      <c r="G85" s="22" t="n">
        <v>12</v>
      </c>
      <c r="H85" s="17" t="n">
        <v>0.18</v>
      </c>
    </row>
    <row r="86" customFormat="false" ht="15" hidden="false" customHeight="true" outlineLevel="0" collapsed="false">
      <c r="A86" s="22" t="n">
        <v>16</v>
      </c>
      <c r="B86" s="17" t="n">
        <v>0.34</v>
      </c>
      <c r="D86" s="22" t="n">
        <v>16</v>
      </c>
      <c r="E86" s="17" t="n">
        <v>0.36</v>
      </c>
      <c r="G86" s="22" t="n">
        <v>16</v>
      </c>
      <c r="H86" s="17" t="n">
        <v>0.36</v>
      </c>
    </row>
    <row r="87" customFormat="false" ht="15" hidden="false" customHeight="true" outlineLevel="0" collapsed="false">
      <c r="A87" s="22" t="n">
        <v>20</v>
      </c>
      <c r="B87" s="17" t="n">
        <v>0.51</v>
      </c>
      <c r="D87" s="22" t="n">
        <v>20</v>
      </c>
      <c r="E87" s="17" t="n">
        <v>0.54</v>
      </c>
      <c r="G87" s="22" t="n">
        <v>20</v>
      </c>
      <c r="H87" s="17" t="n">
        <v>0.54</v>
      </c>
    </row>
    <row r="88" customFormat="false" ht="15" hidden="false" customHeight="true" outlineLevel="0" collapsed="false">
      <c r="A88" s="22" t="n">
        <v>24</v>
      </c>
      <c r="B88" s="17" t="n">
        <v>0.68</v>
      </c>
      <c r="D88" s="22" t="n">
        <v>24</v>
      </c>
      <c r="E88" s="17" t="n">
        <v>0.72</v>
      </c>
      <c r="G88" s="22" t="n">
        <v>24</v>
      </c>
      <c r="H88" s="17" t="n">
        <v>0.72</v>
      </c>
    </row>
    <row r="89" customFormat="false" ht="15" hidden="false" customHeight="true" outlineLevel="0" collapsed="false">
      <c r="A89" s="22" t="n">
        <v>28</v>
      </c>
      <c r="B89" s="17" t="n">
        <v>0.85</v>
      </c>
      <c r="D89" s="22" t="n">
        <v>28</v>
      </c>
      <c r="E89" s="17" t="n">
        <v>0.9</v>
      </c>
      <c r="G89" s="22" t="n">
        <v>28</v>
      </c>
      <c r="H89" s="17" t="n">
        <v>0.9</v>
      </c>
    </row>
    <row r="90" customFormat="false" ht="15" hidden="false" customHeight="true" outlineLevel="0" collapsed="false">
      <c r="A90" s="22" t="n">
        <v>32</v>
      </c>
      <c r="B90" s="17" t="n">
        <v>1.02</v>
      </c>
      <c r="D90" s="22" t="n">
        <v>32</v>
      </c>
      <c r="E90" s="17" t="n">
        <v>1.08</v>
      </c>
      <c r="G90" s="22" t="n">
        <v>32</v>
      </c>
      <c r="H90" s="17" t="n">
        <v>1.08</v>
      </c>
    </row>
    <row r="91" customFormat="false" ht="15" hidden="false" customHeight="true" outlineLevel="0" collapsed="false">
      <c r="A91" s="22" t="n">
        <v>36</v>
      </c>
      <c r="B91" s="17" t="n">
        <v>1.19</v>
      </c>
      <c r="D91" s="22" t="n">
        <v>36</v>
      </c>
      <c r="E91" s="17" t="n">
        <v>1.26</v>
      </c>
      <c r="G91" s="22" t="n">
        <v>36</v>
      </c>
      <c r="H91" s="17" t="n">
        <v>1.26</v>
      </c>
    </row>
    <row r="92" customFormat="false" ht="15" hidden="false" customHeight="true" outlineLevel="0" collapsed="false">
      <c r="A92" s="22" t="n">
        <v>40</v>
      </c>
      <c r="B92" s="17" t="n">
        <v>1.36</v>
      </c>
      <c r="D92" s="22" t="n">
        <v>40</v>
      </c>
      <c r="E92" s="17" t="n">
        <v>1.44</v>
      </c>
      <c r="G92" s="22" t="n">
        <v>40</v>
      </c>
      <c r="H92" s="17" t="n">
        <v>1.44</v>
      </c>
    </row>
    <row r="93" customFormat="false" ht="15" hidden="false" customHeight="true" outlineLevel="0" collapsed="false">
      <c r="A93" s="22" t="n">
        <v>44</v>
      </c>
      <c r="B93" s="17" t="n">
        <v>1.53</v>
      </c>
      <c r="D93" s="22" t="n">
        <v>44</v>
      </c>
      <c r="E93" s="17" t="n">
        <v>1.62</v>
      </c>
      <c r="G93" s="22" t="n">
        <v>44</v>
      </c>
      <c r="H93" s="17" t="n">
        <v>1.62</v>
      </c>
    </row>
    <row r="94" customFormat="false" ht="15" hidden="false" customHeight="true" outlineLevel="0" collapsed="false">
      <c r="A94" s="22" t="n">
        <v>48</v>
      </c>
      <c r="B94" s="17" t="n">
        <v>1.7</v>
      </c>
      <c r="D94" s="22" t="n">
        <v>48</v>
      </c>
      <c r="E94" s="17" t="n">
        <v>1.8</v>
      </c>
      <c r="G94" s="22" t="n">
        <v>48</v>
      </c>
      <c r="H94" s="17" t="n">
        <v>1.8</v>
      </c>
    </row>
    <row r="95" customFormat="false" ht="15" hidden="false" customHeight="true" outlineLevel="0" collapsed="false">
      <c r="A95" s="22" t="n">
        <v>52</v>
      </c>
      <c r="B95" s="17" t="n">
        <v>1.87</v>
      </c>
      <c r="D95" s="22" t="n">
        <v>52</v>
      </c>
      <c r="E95" s="17" t="n">
        <v>1.98</v>
      </c>
      <c r="G95" s="22" t="n">
        <v>52</v>
      </c>
      <c r="H95" s="17" t="n">
        <v>1.98</v>
      </c>
    </row>
    <row r="98" customFormat="false" ht="17.25" hidden="false" customHeight="true" outlineLevel="0" collapsed="false">
      <c r="A98" s="2" t="s">
        <v>80</v>
      </c>
      <c r="B98" s="2"/>
      <c r="D98" s="2" t="s">
        <v>81</v>
      </c>
      <c r="E98" s="2"/>
      <c r="G98" s="2" t="s">
        <v>82</v>
      </c>
      <c r="H98" s="2"/>
    </row>
    <row r="99" customFormat="false" ht="15" hidden="false" customHeight="true" outlineLevel="0" collapsed="false">
      <c r="A99" s="3" t="s">
        <v>92</v>
      </c>
      <c r="B99" s="3"/>
      <c r="D99" s="3" t="s">
        <v>93</v>
      </c>
      <c r="E99" s="3"/>
      <c r="G99" s="3" t="s">
        <v>93</v>
      </c>
      <c r="H99" s="3"/>
    </row>
    <row r="101" customFormat="false" ht="15" hidden="false" customHeight="true" outlineLevel="0" collapsed="false">
      <c r="A101" s="18" t="s">
        <v>79</v>
      </c>
      <c r="B101" s="18" t="s">
        <v>25</v>
      </c>
      <c r="D101" s="18" t="s">
        <v>79</v>
      </c>
      <c r="E101" s="18" t="s">
        <v>25</v>
      </c>
      <c r="G101" s="18" t="s">
        <v>79</v>
      </c>
      <c r="H101" s="18" t="s">
        <v>25</v>
      </c>
    </row>
    <row r="102" customFormat="false" ht="15" hidden="false" customHeight="true" outlineLevel="0" collapsed="false">
      <c r="A102" s="22" t="n">
        <v>8</v>
      </c>
      <c r="B102" s="17" t="n">
        <v>0</v>
      </c>
      <c r="D102" s="22" t="n">
        <v>8</v>
      </c>
      <c r="E102" s="17" t="n">
        <v>0</v>
      </c>
      <c r="G102" s="22" t="n">
        <v>8</v>
      </c>
      <c r="H102" s="17" t="n">
        <v>0</v>
      </c>
    </row>
    <row r="103" customFormat="false" ht="15" hidden="false" customHeight="true" outlineLevel="0" collapsed="false">
      <c r="A103" s="22" t="n">
        <v>12</v>
      </c>
      <c r="B103" s="17" t="n">
        <v>0.26</v>
      </c>
      <c r="D103" s="22" t="n">
        <v>12</v>
      </c>
      <c r="E103" s="17" t="n">
        <v>0.28</v>
      </c>
      <c r="G103" s="22" t="n">
        <v>12</v>
      </c>
      <c r="H103" s="17" t="n">
        <v>0.28</v>
      </c>
    </row>
    <row r="104" customFormat="false" ht="15" hidden="false" customHeight="true" outlineLevel="0" collapsed="false">
      <c r="A104" s="22" t="n">
        <v>16</v>
      </c>
      <c r="B104" s="17" t="n">
        <v>0.52</v>
      </c>
      <c r="D104" s="22" t="n">
        <v>16</v>
      </c>
      <c r="E104" s="17" t="n">
        <v>0.56</v>
      </c>
      <c r="G104" s="22" t="n">
        <v>16</v>
      </c>
      <c r="H104" s="17" t="n">
        <v>0.56</v>
      </c>
    </row>
    <row r="105" customFormat="false" ht="15" hidden="false" customHeight="true" outlineLevel="0" collapsed="false">
      <c r="A105" s="22" t="n">
        <v>20</v>
      </c>
      <c r="B105" s="17" t="n">
        <v>0.78</v>
      </c>
      <c r="D105" s="22" t="n">
        <v>20</v>
      </c>
      <c r="E105" s="17" t="n">
        <v>0.84</v>
      </c>
      <c r="G105" s="22" t="n">
        <v>20</v>
      </c>
      <c r="H105" s="17" t="n">
        <v>0.84</v>
      </c>
    </row>
    <row r="106" customFormat="false" ht="15" hidden="false" customHeight="true" outlineLevel="0" collapsed="false">
      <c r="A106" s="22" t="n">
        <v>24</v>
      </c>
      <c r="B106" s="17" t="n">
        <v>1.04</v>
      </c>
      <c r="D106" s="22" t="n">
        <v>24</v>
      </c>
      <c r="E106" s="17" t="n">
        <v>1.12</v>
      </c>
      <c r="G106" s="22" t="n">
        <v>24</v>
      </c>
      <c r="H106" s="17" t="n">
        <v>1.12</v>
      </c>
    </row>
    <row r="107" customFormat="false" ht="15" hidden="false" customHeight="true" outlineLevel="0" collapsed="false">
      <c r="A107" s="22" t="n">
        <v>28</v>
      </c>
      <c r="B107" s="17" t="n">
        <v>1.3</v>
      </c>
      <c r="D107" s="22" t="n">
        <v>28</v>
      </c>
      <c r="E107" s="17" t="n">
        <v>1.4</v>
      </c>
      <c r="G107" s="22" t="n">
        <v>28</v>
      </c>
      <c r="H107" s="17" t="n">
        <v>1.4</v>
      </c>
    </row>
    <row r="108" customFormat="false" ht="15" hidden="false" customHeight="true" outlineLevel="0" collapsed="false">
      <c r="A108" s="22" t="n">
        <v>32</v>
      </c>
      <c r="B108" s="17" t="n">
        <v>1.56</v>
      </c>
      <c r="D108" s="22" t="n">
        <v>32</v>
      </c>
      <c r="E108" s="17" t="n">
        <v>1.68</v>
      </c>
      <c r="G108" s="22" t="n">
        <v>32</v>
      </c>
      <c r="H108" s="17" t="n">
        <v>1.68</v>
      </c>
    </row>
    <row r="109" customFormat="false" ht="15" hidden="false" customHeight="true" outlineLevel="0" collapsed="false">
      <c r="A109" s="22" t="n">
        <v>36</v>
      </c>
      <c r="B109" s="17" t="n">
        <v>1.82</v>
      </c>
      <c r="D109" s="22" t="n">
        <v>36</v>
      </c>
      <c r="E109" s="17" t="n">
        <v>1.96</v>
      </c>
      <c r="G109" s="22" t="n">
        <v>36</v>
      </c>
      <c r="H109" s="17" t="n">
        <v>1.96</v>
      </c>
    </row>
    <row r="110" customFormat="false" ht="15" hidden="false" customHeight="true" outlineLevel="0" collapsed="false">
      <c r="A110" s="22" t="n">
        <v>40</v>
      </c>
      <c r="B110" s="17" t="n">
        <v>2.08</v>
      </c>
      <c r="D110" s="22" t="n">
        <v>40</v>
      </c>
      <c r="E110" s="17" t="n">
        <v>2.24</v>
      </c>
      <c r="G110" s="22" t="n">
        <v>40</v>
      </c>
      <c r="H110" s="17" t="n">
        <v>2.24</v>
      </c>
    </row>
    <row r="111" customFormat="false" ht="15" hidden="false" customHeight="true" outlineLevel="0" collapsed="false">
      <c r="A111" s="22" t="n">
        <v>44</v>
      </c>
      <c r="B111" s="17" t="n">
        <v>2.34</v>
      </c>
      <c r="D111" s="22" t="n">
        <v>44</v>
      </c>
      <c r="E111" s="17" t="n">
        <v>2.52</v>
      </c>
      <c r="G111" s="22" t="n">
        <v>44</v>
      </c>
      <c r="H111" s="17" t="n">
        <v>2.52</v>
      </c>
    </row>
    <row r="112" customFormat="false" ht="15" hidden="false" customHeight="true" outlineLevel="0" collapsed="false">
      <c r="A112" s="22" t="n">
        <v>48</v>
      </c>
      <c r="B112" s="17" t="n">
        <v>2.6</v>
      </c>
      <c r="D112" s="22" t="n">
        <v>48</v>
      </c>
      <c r="E112" s="17" t="n">
        <v>2.8</v>
      </c>
      <c r="G112" s="22" t="n">
        <v>48</v>
      </c>
      <c r="H112" s="17" t="n">
        <v>2.8</v>
      </c>
    </row>
    <row r="113" customFormat="false" ht="15" hidden="false" customHeight="true" outlineLevel="0" collapsed="false">
      <c r="A113" s="22" t="n">
        <v>52</v>
      </c>
      <c r="B113" s="17" t="n">
        <v>2.86</v>
      </c>
      <c r="D113" s="22" t="n">
        <v>52</v>
      </c>
      <c r="E113" s="17" t="n">
        <v>3.08</v>
      </c>
      <c r="G113" s="22" t="n">
        <v>52</v>
      </c>
      <c r="H113" s="17" t="n">
        <v>3.08</v>
      </c>
    </row>
  </sheetData>
  <mergeCells count="24">
    <mergeCell ref="A1:I1"/>
    <mergeCell ref="A2:I2"/>
    <mergeCell ref="A3:I3"/>
    <mergeCell ref="C5:I5"/>
    <mergeCell ref="K7:L7"/>
    <mergeCell ref="A23:I23"/>
    <mergeCell ref="A24:I24"/>
    <mergeCell ref="A36:I36"/>
    <mergeCell ref="A43:I43"/>
    <mergeCell ref="A50:I50"/>
    <mergeCell ref="A60:I60"/>
    <mergeCell ref="A61:I61"/>
    <mergeCell ref="A80:B80"/>
    <mergeCell ref="D80:E80"/>
    <mergeCell ref="G80:H80"/>
    <mergeCell ref="A81:B81"/>
    <mergeCell ref="D81:E81"/>
    <mergeCell ref="G81:H81"/>
    <mergeCell ref="A98:B98"/>
    <mergeCell ref="D98:E98"/>
    <mergeCell ref="G98:H98"/>
    <mergeCell ref="A99:B99"/>
    <mergeCell ref="D99:E99"/>
    <mergeCell ref="G99:H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5" min="3" style="1" width="16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98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99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 t="s">
        <v>100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5" t="n">
        <v>5.59</v>
      </c>
      <c r="C5" s="3" t="s">
        <v>97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K7" s="7" t="s">
        <v>14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5.59</v>
      </c>
      <c r="D8" s="10" t="n">
        <f aca="false">C8*(1-B8)</f>
        <v>5.59</v>
      </c>
      <c r="E8" s="11" t="n">
        <f aca="false">A8*C8</f>
        <v>5.59</v>
      </c>
      <c r="F8" s="11" t="n">
        <f aca="false">A8*D8</f>
        <v>5.59</v>
      </c>
      <c r="G8" s="11" t="n">
        <f aca="false">E8-F8</f>
        <v>0</v>
      </c>
      <c r="H8" s="10" t="n">
        <f aca="false">C8-D8</f>
        <v>0</v>
      </c>
      <c r="I8" s="12" t="s">
        <v>15</v>
      </c>
      <c r="K8" s="13" t="s">
        <v>16</v>
      </c>
      <c r="L8" s="14" t="n">
        <f aca="false">MAX(B8:B20)</f>
        <v>0.66</v>
      </c>
    </row>
    <row r="9" customFormat="false" ht="15" hidden="false" customHeight="true" outlineLevel="0" collapsed="false">
      <c r="A9" s="8" t="n">
        <v>2</v>
      </c>
      <c r="B9" s="9" t="n">
        <v>0.056</v>
      </c>
      <c r="C9" s="10" t="n">
        <f aca="false">$B$5</f>
        <v>5.59</v>
      </c>
      <c r="D9" s="10" t="n">
        <f aca="false">C9*(1-B9)</f>
        <v>5.27696</v>
      </c>
      <c r="E9" s="11" t="n">
        <f aca="false">A9*C9</f>
        <v>11.18</v>
      </c>
      <c r="F9" s="11" t="n">
        <f aca="false">A9*D9</f>
        <v>10.55392</v>
      </c>
      <c r="G9" s="11" t="n">
        <f aca="false">E9-F9</f>
        <v>0.62608</v>
      </c>
      <c r="H9" s="10" t="n">
        <f aca="false">C9-D9</f>
        <v>0.31304</v>
      </c>
      <c r="I9" s="12" t="s">
        <v>15</v>
      </c>
      <c r="K9" s="13" t="s">
        <v>17</v>
      </c>
      <c r="L9" s="15" t="n">
        <f aca="false">MIN(D8:D20)</f>
        <v>1.9006</v>
      </c>
    </row>
    <row r="10" customFormat="false" ht="15" hidden="false" customHeight="true" outlineLevel="0" collapsed="false">
      <c r="A10" s="8" t="n">
        <v>5</v>
      </c>
      <c r="B10" s="9" t="n">
        <v>0.081</v>
      </c>
      <c r="C10" s="10" t="n">
        <f aca="false">$B$5</f>
        <v>5.59</v>
      </c>
      <c r="D10" s="10" t="n">
        <f aca="false">C10*(1-B10)</f>
        <v>5.13721</v>
      </c>
      <c r="E10" s="11" t="n">
        <f aca="false">A10*C10</f>
        <v>27.95</v>
      </c>
      <c r="F10" s="11" t="n">
        <f aca="false">A10*D10</f>
        <v>25.68605</v>
      </c>
      <c r="G10" s="11" t="n">
        <f aca="false">E10-F10</f>
        <v>2.26395</v>
      </c>
      <c r="H10" s="10" t="n">
        <f aca="false">C10-D10</f>
        <v>0.452789999999999</v>
      </c>
      <c r="I10" s="12" t="s">
        <v>15</v>
      </c>
      <c r="K10" s="13" t="s">
        <v>18</v>
      </c>
      <c r="L10" s="15" t="n">
        <f aca="false">F20</f>
        <v>1900.6</v>
      </c>
    </row>
    <row r="11" customFormat="false" ht="15" hidden="false" customHeight="true" outlineLevel="0" collapsed="false">
      <c r="A11" s="8" t="n">
        <v>20</v>
      </c>
      <c r="B11" s="9" t="n">
        <v>0.215</v>
      </c>
      <c r="C11" s="10" t="n">
        <f aca="false">$B$5</f>
        <v>5.59</v>
      </c>
      <c r="D11" s="10" t="n">
        <f aca="false">C11*(1-B11)</f>
        <v>4.38815</v>
      </c>
      <c r="E11" s="11" t="n">
        <f aca="false">A11*C11</f>
        <v>111.8</v>
      </c>
      <c r="F11" s="11" t="n">
        <f aca="false">A11*D11</f>
        <v>87.763</v>
      </c>
      <c r="G11" s="11" t="n">
        <f aca="false">E11-F11</f>
        <v>24.037</v>
      </c>
      <c r="H11" s="10" t="n">
        <f aca="false">C11-D11</f>
        <v>1.20185</v>
      </c>
      <c r="I11" s="12" t="s">
        <v>15</v>
      </c>
      <c r="K11" s="13" t="s">
        <v>19</v>
      </c>
      <c r="L11" s="15" t="n">
        <f aca="false">G20</f>
        <v>3689.4</v>
      </c>
    </row>
    <row r="12" customFormat="false" ht="15" hidden="false" customHeight="true" outlineLevel="0" collapsed="false">
      <c r="A12" s="8" t="n">
        <v>25</v>
      </c>
      <c r="B12" s="9" t="n">
        <v>0.271</v>
      </c>
      <c r="C12" s="10" t="n">
        <f aca="false">$B$5</f>
        <v>5.59</v>
      </c>
      <c r="D12" s="10" t="n">
        <f aca="false">C12*(1-B12)</f>
        <v>4.07511</v>
      </c>
      <c r="E12" s="11" t="n">
        <f aca="false">A12*C12</f>
        <v>139.75</v>
      </c>
      <c r="F12" s="11" t="n">
        <f aca="false">A12*D12</f>
        <v>101.87775</v>
      </c>
      <c r="G12" s="11" t="n">
        <f aca="false">E12-F12</f>
        <v>37.87225</v>
      </c>
      <c r="H12" s="10" t="n">
        <f aca="false">C12-D12</f>
        <v>1.51489</v>
      </c>
      <c r="I12" s="12" t="s">
        <v>15</v>
      </c>
    </row>
    <row r="13" customFormat="false" ht="15" hidden="false" customHeight="true" outlineLevel="0" collapsed="false">
      <c r="A13" s="8" t="n">
        <v>50</v>
      </c>
      <c r="B13" s="9" t="n">
        <v>0.343</v>
      </c>
      <c r="C13" s="10" t="n">
        <f aca="false">$B$5</f>
        <v>5.59</v>
      </c>
      <c r="D13" s="10" t="n">
        <f aca="false">C13*(1-B13)</f>
        <v>3.67263</v>
      </c>
      <c r="E13" s="11" t="n">
        <f aca="false">A13*C13</f>
        <v>279.5</v>
      </c>
      <c r="F13" s="11" t="n">
        <f aca="false">A13*D13</f>
        <v>183.6315</v>
      </c>
      <c r="G13" s="11" t="n">
        <f aca="false">E13-F13</f>
        <v>95.8685</v>
      </c>
      <c r="H13" s="10" t="n">
        <f aca="false">C13-D13</f>
        <v>1.91737</v>
      </c>
      <c r="I13" s="12" t="s">
        <v>15</v>
      </c>
    </row>
    <row r="14" customFormat="false" ht="15" hidden="false" customHeight="true" outlineLevel="0" collapsed="false">
      <c r="A14" s="8" t="n">
        <v>75</v>
      </c>
      <c r="B14" s="9" t="n">
        <v>0.372</v>
      </c>
      <c r="C14" s="10" t="n">
        <f aca="false">$B$5</f>
        <v>5.59</v>
      </c>
      <c r="D14" s="10" t="n">
        <f aca="false">C14*(1-B14)</f>
        <v>3.51052</v>
      </c>
      <c r="E14" s="11" t="n">
        <f aca="false">A14*C14</f>
        <v>419.25</v>
      </c>
      <c r="F14" s="11" t="n">
        <f aca="false">A14*D14</f>
        <v>263.289</v>
      </c>
      <c r="G14" s="11" t="n">
        <f aca="false">E14-F14</f>
        <v>155.961</v>
      </c>
      <c r="H14" s="10" t="n">
        <f aca="false">C14-D14</f>
        <v>2.07948</v>
      </c>
      <c r="I14" s="12" t="s">
        <v>15</v>
      </c>
    </row>
    <row r="15" customFormat="false" ht="15" hidden="false" customHeight="true" outlineLevel="0" collapsed="false">
      <c r="A15" s="8" t="n">
        <v>100</v>
      </c>
      <c r="B15" s="9" t="n">
        <v>0.433</v>
      </c>
      <c r="C15" s="10" t="n">
        <f aca="false">$B$5</f>
        <v>5.59</v>
      </c>
      <c r="D15" s="10" t="n">
        <f aca="false">C15*(1-B15)</f>
        <v>3.16953</v>
      </c>
      <c r="E15" s="11" t="n">
        <f aca="false">A15*C15</f>
        <v>559</v>
      </c>
      <c r="F15" s="11" t="n">
        <f aca="false">A15*D15</f>
        <v>316.953</v>
      </c>
      <c r="G15" s="11" t="n">
        <f aca="false">E15-F15</f>
        <v>242.047</v>
      </c>
      <c r="H15" s="10" t="n">
        <f aca="false">C15-D15</f>
        <v>2.42047</v>
      </c>
      <c r="I15" s="12" t="s">
        <v>15</v>
      </c>
    </row>
    <row r="16" customFormat="false" ht="15" hidden="false" customHeight="true" outlineLevel="0" collapsed="false">
      <c r="A16" s="8" t="n">
        <v>250</v>
      </c>
      <c r="B16" s="9" t="n">
        <v>0.514</v>
      </c>
      <c r="C16" s="10" t="n">
        <f aca="false">$B$5</f>
        <v>5.59</v>
      </c>
      <c r="D16" s="10" t="n">
        <f aca="false">C16*(1-B16)</f>
        <v>2.71674</v>
      </c>
      <c r="E16" s="11" t="n">
        <f aca="false">A16*C16</f>
        <v>1397.5</v>
      </c>
      <c r="F16" s="11" t="n">
        <f aca="false">A16*D16</f>
        <v>679.185</v>
      </c>
      <c r="G16" s="11" t="n">
        <f aca="false">E16-F16</f>
        <v>718.315</v>
      </c>
      <c r="H16" s="10" t="n">
        <f aca="false">C16-D16</f>
        <v>2.87326</v>
      </c>
      <c r="I16" s="12" t="s">
        <v>15</v>
      </c>
    </row>
    <row r="17" customFormat="false" ht="15" hidden="false" customHeight="true" outlineLevel="0" collapsed="false">
      <c r="A17" s="8" t="n">
        <v>300</v>
      </c>
      <c r="B17" s="9" t="n">
        <v>0.554</v>
      </c>
      <c r="C17" s="10" t="n">
        <f aca="false">$B$5</f>
        <v>5.59</v>
      </c>
      <c r="D17" s="10" t="n">
        <f aca="false">C17*(1-B17)</f>
        <v>2.49314</v>
      </c>
      <c r="E17" s="11" t="n">
        <f aca="false">A17*C17</f>
        <v>1677</v>
      </c>
      <c r="F17" s="11" t="n">
        <f aca="false">A17*D17</f>
        <v>747.942</v>
      </c>
      <c r="G17" s="11" t="n">
        <f aca="false">E17-F17</f>
        <v>929.058</v>
      </c>
      <c r="H17" s="10" t="n">
        <f aca="false">C17-D17</f>
        <v>3.09686</v>
      </c>
      <c r="I17" s="12" t="s">
        <v>15</v>
      </c>
    </row>
    <row r="18" customFormat="false" ht="15" hidden="false" customHeight="true" outlineLevel="0" collapsed="false">
      <c r="A18" s="8" t="n">
        <v>500</v>
      </c>
      <c r="B18" s="9" t="n">
        <v>0.586</v>
      </c>
      <c r="C18" s="10" t="n">
        <f aca="false">$B$5</f>
        <v>5.59</v>
      </c>
      <c r="D18" s="10" t="n">
        <f aca="false">C18*(1-B18)</f>
        <v>2.31426</v>
      </c>
      <c r="E18" s="11" t="n">
        <f aca="false">A18*C18</f>
        <v>2795</v>
      </c>
      <c r="F18" s="11" t="n">
        <f aca="false">A18*D18</f>
        <v>1157.13</v>
      </c>
      <c r="G18" s="11" t="n">
        <f aca="false">E18-F18</f>
        <v>1637.87</v>
      </c>
      <c r="H18" s="10" t="n">
        <f aca="false">C18-D18</f>
        <v>3.27574</v>
      </c>
      <c r="I18" s="12" t="s">
        <v>15</v>
      </c>
    </row>
    <row r="19" customFormat="false" ht="15" hidden="false" customHeight="true" outlineLevel="0" collapsed="false">
      <c r="A19" s="8" t="n">
        <v>750</v>
      </c>
      <c r="B19" s="9" t="n">
        <v>0.61</v>
      </c>
      <c r="C19" s="10" t="n">
        <f aca="false">$B$5</f>
        <v>5.59</v>
      </c>
      <c r="D19" s="10" t="n">
        <f aca="false">C19*(1-B19)</f>
        <v>2.1801</v>
      </c>
      <c r="E19" s="11" t="n">
        <f aca="false">A19*C19</f>
        <v>4192.5</v>
      </c>
      <c r="F19" s="11" t="n">
        <f aca="false">A19*D19</f>
        <v>1635.075</v>
      </c>
      <c r="G19" s="11" t="n">
        <f aca="false">E19-F19</f>
        <v>2557.425</v>
      </c>
      <c r="H19" s="10" t="n">
        <f aca="false">C19-D19</f>
        <v>3.4099</v>
      </c>
      <c r="I19" s="12" t="s">
        <v>15</v>
      </c>
    </row>
    <row r="20" customFormat="false" ht="15" hidden="false" customHeight="true" outlineLevel="0" collapsed="false">
      <c r="A20" s="8" t="n">
        <v>1000</v>
      </c>
      <c r="B20" s="9" t="n">
        <v>0.66</v>
      </c>
      <c r="C20" s="10" t="n">
        <f aca="false">$B$5</f>
        <v>5.59</v>
      </c>
      <c r="D20" s="10" t="n">
        <f aca="false">C20*(1-B20)</f>
        <v>1.9006</v>
      </c>
      <c r="E20" s="11" t="n">
        <f aca="false">A20*C20</f>
        <v>5590</v>
      </c>
      <c r="F20" s="11" t="n">
        <f aca="false">A20*D20</f>
        <v>1900.6</v>
      </c>
      <c r="G20" s="11" t="n">
        <f aca="false">E20-F20</f>
        <v>3689.4</v>
      </c>
      <c r="H20" s="10" t="n">
        <f aca="false">C20-D20</f>
        <v>3.6894</v>
      </c>
      <c r="I20" s="12" t="s">
        <v>15</v>
      </c>
    </row>
    <row r="23" customFormat="false" ht="17.25" hidden="false" customHeight="true" outlineLevel="0" collapsed="false">
      <c r="A23" s="2" t="s">
        <v>74</v>
      </c>
      <c r="B23" s="2"/>
      <c r="D23" s="2" t="s">
        <v>75</v>
      </c>
      <c r="E23" s="2"/>
      <c r="G23" s="2" t="s">
        <v>76</v>
      </c>
      <c r="H23" s="2"/>
    </row>
    <row r="24" customFormat="false" ht="15" hidden="false" customHeight="true" outlineLevel="0" collapsed="false">
      <c r="A24" s="3" t="s">
        <v>90</v>
      </c>
      <c r="B24" s="3"/>
      <c r="D24" s="3" t="s">
        <v>91</v>
      </c>
      <c r="E24" s="3"/>
      <c r="G24" s="3" t="s">
        <v>91</v>
      </c>
      <c r="H24" s="3"/>
    </row>
    <row r="26" customFormat="false" ht="15" hidden="false" customHeight="true" outlineLevel="0" collapsed="false">
      <c r="A26" s="18" t="s">
        <v>79</v>
      </c>
      <c r="B26" s="18" t="s">
        <v>25</v>
      </c>
      <c r="D26" s="18" t="s">
        <v>79</v>
      </c>
      <c r="E26" s="18" t="s">
        <v>25</v>
      </c>
      <c r="G26" s="18" t="s">
        <v>79</v>
      </c>
      <c r="H26" s="18" t="s">
        <v>25</v>
      </c>
    </row>
    <row r="27" customFormat="false" ht="15" hidden="false" customHeight="true" outlineLevel="0" collapsed="false">
      <c r="A27" s="22" t="n">
        <v>8</v>
      </c>
      <c r="B27" s="17" t="n">
        <v>0</v>
      </c>
      <c r="D27" s="22" t="n">
        <v>8</v>
      </c>
      <c r="E27" s="17" t="n">
        <v>0</v>
      </c>
      <c r="G27" s="22" t="n">
        <v>8</v>
      </c>
      <c r="H27" s="17" t="n">
        <v>0</v>
      </c>
    </row>
    <row r="28" customFormat="false" ht="15" hidden="false" customHeight="true" outlineLevel="0" collapsed="false">
      <c r="A28" s="22" t="n">
        <v>12</v>
      </c>
      <c r="B28" s="17" t="n">
        <v>0.17</v>
      </c>
      <c r="D28" s="22" t="n">
        <v>12</v>
      </c>
      <c r="E28" s="17" t="n">
        <v>0.18</v>
      </c>
      <c r="G28" s="22" t="n">
        <v>12</v>
      </c>
      <c r="H28" s="17" t="n">
        <v>0.18</v>
      </c>
    </row>
    <row r="29" customFormat="false" ht="15" hidden="false" customHeight="true" outlineLevel="0" collapsed="false">
      <c r="A29" s="22" t="n">
        <v>16</v>
      </c>
      <c r="B29" s="17" t="n">
        <v>0.34</v>
      </c>
      <c r="D29" s="22" t="n">
        <v>16</v>
      </c>
      <c r="E29" s="17" t="n">
        <v>0.36</v>
      </c>
      <c r="G29" s="22" t="n">
        <v>16</v>
      </c>
      <c r="H29" s="17" t="n">
        <v>0.36</v>
      </c>
    </row>
    <row r="30" customFormat="false" ht="15" hidden="false" customHeight="true" outlineLevel="0" collapsed="false">
      <c r="A30" s="22" t="n">
        <v>20</v>
      </c>
      <c r="B30" s="17" t="n">
        <v>0.51</v>
      </c>
      <c r="D30" s="22" t="n">
        <v>20</v>
      </c>
      <c r="E30" s="17" t="n">
        <v>0.54</v>
      </c>
      <c r="G30" s="22" t="n">
        <v>20</v>
      </c>
      <c r="H30" s="17" t="n">
        <v>0.54</v>
      </c>
    </row>
    <row r="31" customFormat="false" ht="15" hidden="false" customHeight="true" outlineLevel="0" collapsed="false">
      <c r="A31" s="22" t="n">
        <v>24</v>
      </c>
      <c r="B31" s="17" t="n">
        <v>0.68</v>
      </c>
      <c r="D31" s="22" t="n">
        <v>24</v>
      </c>
      <c r="E31" s="17" t="n">
        <v>0.72</v>
      </c>
      <c r="G31" s="22" t="n">
        <v>24</v>
      </c>
      <c r="H31" s="17" t="n">
        <v>0.72</v>
      </c>
    </row>
    <row r="32" customFormat="false" ht="15" hidden="false" customHeight="true" outlineLevel="0" collapsed="false">
      <c r="A32" s="22" t="n">
        <v>28</v>
      </c>
      <c r="B32" s="17" t="n">
        <v>0.85</v>
      </c>
      <c r="D32" s="22" t="n">
        <v>28</v>
      </c>
      <c r="E32" s="17" t="n">
        <v>0.9</v>
      </c>
      <c r="G32" s="22" t="n">
        <v>28</v>
      </c>
      <c r="H32" s="17" t="n">
        <v>0.9</v>
      </c>
    </row>
    <row r="33" customFormat="false" ht="15" hidden="false" customHeight="true" outlineLevel="0" collapsed="false">
      <c r="A33" s="22" t="n">
        <v>32</v>
      </c>
      <c r="B33" s="17" t="n">
        <v>1.02</v>
      </c>
      <c r="D33" s="22" t="n">
        <v>32</v>
      </c>
      <c r="E33" s="17" t="n">
        <v>1.08</v>
      </c>
      <c r="G33" s="22" t="n">
        <v>32</v>
      </c>
      <c r="H33" s="17" t="n">
        <v>1.08</v>
      </c>
    </row>
    <row r="34" customFormat="false" ht="15" hidden="false" customHeight="true" outlineLevel="0" collapsed="false">
      <c r="A34" s="22" t="n">
        <v>36</v>
      </c>
      <c r="B34" s="17" t="n">
        <v>1.19</v>
      </c>
      <c r="D34" s="22" t="n">
        <v>36</v>
      </c>
      <c r="E34" s="17" t="n">
        <v>1.26</v>
      </c>
      <c r="G34" s="22" t="n">
        <v>36</v>
      </c>
      <c r="H34" s="17" t="n">
        <v>1.26</v>
      </c>
    </row>
    <row r="35" customFormat="false" ht="15" hidden="false" customHeight="true" outlineLevel="0" collapsed="false">
      <c r="A35" s="22" t="n">
        <v>40</v>
      </c>
      <c r="B35" s="17" t="n">
        <v>1.36</v>
      </c>
      <c r="D35" s="22" t="n">
        <v>40</v>
      </c>
      <c r="E35" s="17" t="n">
        <v>1.44</v>
      </c>
      <c r="G35" s="22" t="n">
        <v>40</v>
      </c>
      <c r="H35" s="17" t="n">
        <v>1.44</v>
      </c>
    </row>
    <row r="36" customFormat="false" ht="15" hidden="false" customHeight="true" outlineLevel="0" collapsed="false">
      <c r="A36" s="22" t="n">
        <v>44</v>
      </c>
      <c r="B36" s="17" t="n">
        <v>1.53</v>
      </c>
      <c r="D36" s="22" t="n">
        <v>44</v>
      </c>
      <c r="E36" s="17" t="n">
        <v>1.62</v>
      </c>
      <c r="G36" s="22" t="n">
        <v>44</v>
      </c>
      <c r="H36" s="17" t="n">
        <v>1.62</v>
      </c>
    </row>
    <row r="37" customFormat="false" ht="15" hidden="false" customHeight="true" outlineLevel="0" collapsed="false">
      <c r="A37" s="22" t="n">
        <v>48</v>
      </c>
      <c r="B37" s="17" t="n">
        <v>1.7</v>
      </c>
      <c r="D37" s="22" t="n">
        <v>48</v>
      </c>
      <c r="E37" s="17" t="n">
        <v>1.8</v>
      </c>
      <c r="G37" s="22" t="n">
        <v>48</v>
      </c>
      <c r="H37" s="17" t="n">
        <v>1.8</v>
      </c>
    </row>
    <row r="38" customFormat="false" ht="15" hidden="false" customHeight="true" outlineLevel="0" collapsed="false">
      <c r="A38" s="22" t="n">
        <v>52</v>
      </c>
      <c r="B38" s="17" t="n">
        <v>1.87</v>
      </c>
      <c r="D38" s="22" t="n">
        <v>52</v>
      </c>
      <c r="E38" s="17" t="n">
        <v>1.98</v>
      </c>
      <c r="G38" s="22" t="n">
        <v>52</v>
      </c>
      <c r="H38" s="17" t="n">
        <v>1.98</v>
      </c>
    </row>
    <row r="41" customFormat="false" ht="17.25" hidden="false" customHeight="true" outlineLevel="0" collapsed="false">
      <c r="A41" s="2" t="s">
        <v>80</v>
      </c>
      <c r="B41" s="2"/>
      <c r="D41" s="2" t="s">
        <v>81</v>
      </c>
      <c r="E41" s="2"/>
      <c r="G41" s="23" t="s">
        <v>82</v>
      </c>
      <c r="H41" s="23"/>
    </row>
    <row r="42" customFormat="false" ht="15" hidden="false" customHeight="true" outlineLevel="0" collapsed="false">
      <c r="A42" s="3" t="s">
        <v>92</v>
      </c>
      <c r="B42" s="3"/>
      <c r="D42" s="3" t="s">
        <v>93</v>
      </c>
      <c r="E42" s="3"/>
      <c r="G42" s="24" t="s">
        <v>93</v>
      </c>
      <c r="H42" s="24"/>
    </row>
    <row r="44" customFormat="false" ht="15" hidden="false" customHeight="true" outlineLevel="0" collapsed="false">
      <c r="A44" s="18" t="s">
        <v>79</v>
      </c>
      <c r="B44" s="18" t="s">
        <v>25</v>
      </c>
      <c r="D44" s="18" t="s">
        <v>79</v>
      </c>
      <c r="E44" s="18" t="s">
        <v>25</v>
      </c>
      <c r="G44" s="18" t="s">
        <v>79</v>
      </c>
      <c r="H44" s="18" t="s">
        <v>25</v>
      </c>
    </row>
    <row r="45" customFormat="false" ht="15" hidden="false" customHeight="true" outlineLevel="0" collapsed="false">
      <c r="A45" s="22" t="n">
        <v>8</v>
      </c>
      <c r="B45" s="17" t="n">
        <v>0</v>
      </c>
      <c r="D45" s="22" t="n">
        <v>8</v>
      </c>
      <c r="E45" s="17" t="n">
        <v>0</v>
      </c>
      <c r="G45" s="22" t="n">
        <v>8</v>
      </c>
      <c r="H45" s="25" t="n">
        <v>0</v>
      </c>
    </row>
    <row r="46" customFormat="false" ht="15" hidden="false" customHeight="true" outlineLevel="0" collapsed="false">
      <c r="A46" s="22" t="n">
        <v>12</v>
      </c>
      <c r="B46" s="17" t="n">
        <v>0.26</v>
      </c>
      <c r="D46" s="22" t="n">
        <v>12</v>
      </c>
      <c r="E46" s="17" t="n">
        <v>0.28</v>
      </c>
      <c r="G46" s="22" t="n">
        <v>12</v>
      </c>
      <c r="H46" s="25" t="n">
        <v>0.28</v>
      </c>
    </row>
    <row r="47" customFormat="false" ht="15" hidden="false" customHeight="true" outlineLevel="0" collapsed="false">
      <c r="A47" s="22" t="n">
        <v>16</v>
      </c>
      <c r="B47" s="17" t="n">
        <v>0.52</v>
      </c>
      <c r="D47" s="22" t="n">
        <v>16</v>
      </c>
      <c r="E47" s="17" t="n">
        <v>0.56</v>
      </c>
      <c r="G47" s="22" t="n">
        <v>16</v>
      </c>
      <c r="H47" s="25" t="n">
        <v>0.56</v>
      </c>
    </row>
    <row r="48" customFormat="false" ht="15" hidden="false" customHeight="true" outlineLevel="0" collapsed="false">
      <c r="A48" s="22" t="n">
        <v>20</v>
      </c>
      <c r="B48" s="17" t="n">
        <v>0.78</v>
      </c>
      <c r="D48" s="22" t="n">
        <v>20</v>
      </c>
      <c r="E48" s="17" t="n">
        <v>0.84</v>
      </c>
      <c r="G48" s="22" t="n">
        <v>20</v>
      </c>
      <c r="H48" s="25" t="n">
        <v>0.84</v>
      </c>
    </row>
    <row r="49" customFormat="false" ht="15" hidden="false" customHeight="true" outlineLevel="0" collapsed="false">
      <c r="A49" s="22" t="n">
        <v>24</v>
      </c>
      <c r="B49" s="17" t="n">
        <v>1.04</v>
      </c>
      <c r="D49" s="22" t="n">
        <v>24</v>
      </c>
      <c r="E49" s="17" t="n">
        <v>1.12</v>
      </c>
      <c r="G49" s="22" t="n">
        <v>24</v>
      </c>
      <c r="H49" s="25" t="n">
        <v>1.12</v>
      </c>
    </row>
    <row r="50" customFormat="false" ht="15" hidden="false" customHeight="true" outlineLevel="0" collapsed="false">
      <c r="A50" s="22" t="n">
        <v>28</v>
      </c>
      <c r="B50" s="17" t="n">
        <v>1.3</v>
      </c>
      <c r="D50" s="22" t="n">
        <v>28</v>
      </c>
      <c r="E50" s="17" t="n">
        <v>1.4</v>
      </c>
      <c r="G50" s="22" t="n">
        <v>28</v>
      </c>
      <c r="H50" s="25" t="n">
        <v>1.4</v>
      </c>
    </row>
    <row r="51" customFormat="false" ht="15" hidden="false" customHeight="true" outlineLevel="0" collapsed="false">
      <c r="A51" s="22" t="n">
        <v>32</v>
      </c>
      <c r="B51" s="17" t="n">
        <v>1.56</v>
      </c>
      <c r="D51" s="22" t="n">
        <v>32</v>
      </c>
      <c r="E51" s="17" t="n">
        <v>1.68</v>
      </c>
      <c r="G51" s="22" t="n">
        <v>32</v>
      </c>
      <c r="H51" s="25" t="n">
        <v>1.68</v>
      </c>
    </row>
    <row r="52" customFormat="false" ht="15" hidden="false" customHeight="true" outlineLevel="0" collapsed="false">
      <c r="A52" s="22" t="n">
        <v>36</v>
      </c>
      <c r="B52" s="17" t="n">
        <v>1.82</v>
      </c>
      <c r="D52" s="22" t="n">
        <v>36</v>
      </c>
      <c r="E52" s="17" t="n">
        <v>1.96</v>
      </c>
      <c r="G52" s="22" t="n">
        <v>36</v>
      </c>
      <c r="H52" s="25" t="n">
        <v>1.96</v>
      </c>
    </row>
    <row r="53" customFormat="false" ht="15" hidden="false" customHeight="true" outlineLevel="0" collapsed="false">
      <c r="A53" s="22" t="n">
        <v>40</v>
      </c>
      <c r="B53" s="17" t="n">
        <v>2.08</v>
      </c>
      <c r="D53" s="22" t="n">
        <v>40</v>
      </c>
      <c r="E53" s="17" t="n">
        <v>2.24</v>
      </c>
      <c r="G53" s="22" t="n">
        <v>40</v>
      </c>
      <c r="H53" s="25" t="n">
        <v>2.24</v>
      </c>
    </row>
    <row r="54" customFormat="false" ht="15" hidden="false" customHeight="true" outlineLevel="0" collapsed="false">
      <c r="A54" s="22" t="n">
        <v>44</v>
      </c>
      <c r="B54" s="17" t="n">
        <v>2.34</v>
      </c>
      <c r="D54" s="22" t="n">
        <v>44</v>
      </c>
      <c r="E54" s="17" t="n">
        <v>2.52</v>
      </c>
      <c r="G54" s="22" t="n">
        <v>44</v>
      </c>
      <c r="H54" s="25" t="n">
        <v>2.52</v>
      </c>
    </row>
    <row r="55" customFormat="false" ht="15" hidden="false" customHeight="true" outlineLevel="0" collapsed="false">
      <c r="A55" s="22" t="n">
        <v>48</v>
      </c>
      <c r="B55" s="17" t="n">
        <v>2.6</v>
      </c>
      <c r="D55" s="22" t="n">
        <v>48</v>
      </c>
      <c r="E55" s="17" t="n">
        <v>2.8</v>
      </c>
      <c r="G55" s="22" t="n">
        <v>48</v>
      </c>
      <c r="H55" s="25" t="n">
        <v>2.8</v>
      </c>
    </row>
    <row r="56" customFormat="false" ht="15" hidden="false" customHeight="true" outlineLevel="0" collapsed="false">
      <c r="A56" s="22" t="n">
        <v>52</v>
      </c>
      <c r="B56" s="17" t="n">
        <v>2.86</v>
      </c>
      <c r="D56" s="22" t="n">
        <v>52</v>
      </c>
      <c r="E56" s="17" t="n">
        <v>3.08</v>
      </c>
      <c r="G56" s="22" t="n">
        <v>52</v>
      </c>
      <c r="H56" s="25" t="n">
        <v>3.08</v>
      </c>
    </row>
  </sheetData>
  <mergeCells count="17">
    <mergeCell ref="A1:I1"/>
    <mergeCell ref="A2:I2"/>
    <mergeCell ref="A3:I3"/>
    <mergeCell ref="C5:I5"/>
    <mergeCell ref="K7:L7"/>
    <mergeCell ref="A23:B23"/>
    <mergeCell ref="D23:E23"/>
    <mergeCell ref="G23:H23"/>
    <mergeCell ref="A24:B24"/>
    <mergeCell ref="D24:E24"/>
    <mergeCell ref="G24:H24"/>
    <mergeCell ref="A41:B41"/>
    <mergeCell ref="D41:E41"/>
    <mergeCell ref="G41:H41"/>
    <mergeCell ref="A42:B42"/>
    <mergeCell ref="D42:E42"/>
    <mergeCell ref="G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1"/>
  </cols>
  <sheetData>
    <row r="1" customFormat="false" ht="17.25" hidden="false" customHeight="true" outlineLevel="0" collapsed="false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true" outlineLevel="0" collapsed="false">
      <c r="A4" s="26" t="s">
        <v>103</v>
      </c>
      <c r="B4" s="18" t="s">
        <v>104</v>
      </c>
      <c r="C4" s="18"/>
      <c r="D4" s="18"/>
      <c r="E4" s="18" t="s">
        <v>105</v>
      </c>
      <c r="F4" s="18"/>
      <c r="G4" s="18"/>
      <c r="H4" s="18" t="s">
        <v>106</v>
      </c>
      <c r="I4" s="18"/>
      <c r="J4" s="18"/>
      <c r="K4" s="18" t="s">
        <v>107</v>
      </c>
      <c r="L4" s="18"/>
      <c r="M4" s="18"/>
    </row>
    <row r="5" customFormat="false" ht="15" hidden="false" customHeight="true" outlineLevel="0" collapsed="false">
      <c r="A5" s="26"/>
      <c r="B5" s="18" t="s">
        <v>108</v>
      </c>
      <c r="C5" s="18" t="s">
        <v>43</v>
      </c>
      <c r="D5" s="18" t="s">
        <v>109</v>
      </c>
      <c r="E5" s="18" t="s">
        <v>108</v>
      </c>
      <c r="F5" s="18" t="s">
        <v>43</v>
      </c>
      <c r="G5" s="18" t="s">
        <v>109</v>
      </c>
      <c r="H5" s="18" t="s">
        <v>108</v>
      </c>
      <c r="I5" s="18" t="s">
        <v>43</v>
      </c>
      <c r="J5" s="18" t="s">
        <v>109</v>
      </c>
      <c r="K5" s="18" t="s">
        <v>108</v>
      </c>
      <c r="L5" s="18" t="s">
        <v>43</v>
      </c>
      <c r="M5" s="18" t="s">
        <v>109</v>
      </c>
    </row>
    <row r="6" customFormat="false" ht="15" hidden="false" customHeight="true" outlineLevel="0" collapsed="false">
      <c r="A6" s="27" t="n">
        <v>1</v>
      </c>
      <c r="B6" s="28" t="n">
        <f aca="false">'A5 (5.8x8.3)'!B8</f>
        <v>0</v>
      </c>
      <c r="C6" s="29" t="n">
        <f aca="false">'A5 (5.8x8.3)'!D8</f>
        <v>4.07</v>
      </c>
      <c r="D6" s="29" t="n">
        <f aca="false">A6*C6</f>
        <v>4.07</v>
      </c>
      <c r="E6" s="28" t="n">
        <f aca="false">'Standard (6.625x10.25)'!B8</f>
        <v>0</v>
      </c>
      <c r="F6" s="29" t="n">
        <f aca="false">'Standard (6.625x10.25)'!D8</f>
        <v>5.36</v>
      </c>
      <c r="G6" s="29" t="n">
        <f aca="false">A6*F6</f>
        <v>5.36</v>
      </c>
      <c r="H6" s="28" t="n">
        <f aca="false">'Magazine (8x10.5)'!B8</f>
        <v>0</v>
      </c>
      <c r="I6" s="29" t="n">
        <f aca="false">'Magazine (8x10.5)'!D8</f>
        <v>5.59</v>
      </c>
      <c r="J6" s="29" t="n">
        <f aca="false">A6*I6</f>
        <v>5.59</v>
      </c>
      <c r="K6" s="28" t="n">
        <f aca="false">'Letter (8.5x11)'!B8</f>
        <v>0</v>
      </c>
      <c r="L6" s="29" t="n">
        <f aca="false">'Letter (8.5x11)'!D8</f>
        <v>5.59</v>
      </c>
      <c r="M6" s="29" t="n">
        <f aca="false">A6*L6</f>
        <v>5.59</v>
      </c>
    </row>
    <row r="7" customFormat="false" ht="15" hidden="false" customHeight="true" outlineLevel="0" collapsed="false">
      <c r="A7" s="27" t="n">
        <v>2</v>
      </c>
      <c r="B7" s="28" t="n">
        <f aca="false">'A5 (5.8x8.3)'!B9</f>
        <v>0.091</v>
      </c>
      <c r="C7" s="29" t="n">
        <f aca="false">'A5 (5.8x8.3)'!D9</f>
        <v>3.69963</v>
      </c>
      <c r="D7" s="29" t="n">
        <f aca="false">A7*C7</f>
        <v>7.39926</v>
      </c>
      <c r="E7" s="28" t="n">
        <f aca="false">'Standard (6.625x10.25)'!B9</f>
        <v>0.115</v>
      </c>
      <c r="F7" s="29" t="n">
        <f aca="false">'Standard (6.625x10.25)'!D9</f>
        <v>4.7436</v>
      </c>
      <c r="G7" s="29" t="n">
        <f aca="false">A7*F7</f>
        <v>9.4872</v>
      </c>
      <c r="H7" s="28" t="n">
        <f aca="false">'Magazine (8x10.5)'!B9</f>
        <v>0.056</v>
      </c>
      <c r="I7" s="29" t="n">
        <f aca="false">'Magazine (8x10.5)'!D9</f>
        <v>5.27696</v>
      </c>
      <c r="J7" s="29" t="n">
        <f aca="false">A7*I7</f>
        <v>10.55392</v>
      </c>
      <c r="K7" s="28" t="n">
        <f aca="false">'Letter (8.5x11)'!B9</f>
        <v>0.056</v>
      </c>
      <c r="L7" s="29" t="n">
        <f aca="false">'Letter (8.5x11)'!D9</f>
        <v>5.27696</v>
      </c>
      <c r="M7" s="29" t="n">
        <f aca="false">A7*L7</f>
        <v>10.55392</v>
      </c>
    </row>
    <row r="8" customFormat="false" ht="15" hidden="false" customHeight="true" outlineLevel="0" collapsed="false">
      <c r="A8" s="27" t="n">
        <v>5</v>
      </c>
      <c r="B8" s="28" t="n">
        <f aca="false">'A5 (5.8x8.3)'!B10</f>
        <v>0.13</v>
      </c>
      <c r="C8" s="29" t="n">
        <f aca="false">'A5 (5.8x8.3)'!D10</f>
        <v>3.5409</v>
      </c>
      <c r="D8" s="29" t="n">
        <f aca="false">A8*C8</f>
        <v>17.7045</v>
      </c>
      <c r="E8" s="28" t="n">
        <f aca="false">'Standard (6.625x10.25)'!B10</f>
        <v>0.138</v>
      </c>
      <c r="F8" s="29" t="n">
        <f aca="false">'Standard (6.625x10.25)'!D10</f>
        <v>4.62032</v>
      </c>
      <c r="G8" s="29" t="n">
        <f aca="false">A8*F8</f>
        <v>23.1016</v>
      </c>
      <c r="H8" s="28" t="n">
        <f aca="false">'Magazine (8x10.5)'!B10</f>
        <v>0.081</v>
      </c>
      <c r="I8" s="29" t="n">
        <f aca="false">'Magazine (8x10.5)'!D10</f>
        <v>5.13721</v>
      </c>
      <c r="J8" s="29" t="n">
        <f aca="false">A8*I8</f>
        <v>25.68605</v>
      </c>
      <c r="K8" s="28" t="n">
        <f aca="false">'Letter (8.5x11)'!B10</f>
        <v>0.081</v>
      </c>
      <c r="L8" s="29" t="n">
        <f aca="false">'Letter (8.5x11)'!D10</f>
        <v>5.13721</v>
      </c>
      <c r="M8" s="29" t="n">
        <f aca="false">A8*L8</f>
        <v>25.68605</v>
      </c>
    </row>
    <row r="9" customFormat="false" ht="15" hidden="false" customHeight="true" outlineLevel="0" collapsed="false">
      <c r="A9" s="27" t="n">
        <v>20</v>
      </c>
      <c r="B9" s="28" t="n">
        <f aca="false">'A5 (5.8x8.3)'!B11</f>
        <v>0.28</v>
      </c>
      <c r="C9" s="29" t="n">
        <f aca="false">'A5 (5.8x8.3)'!D11</f>
        <v>2.9304</v>
      </c>
      <c r="D9" s="29" t="n">
        <f aca="false">A9*C9</f>
        <v>58.608</v>
      </c>
      <c r="E9" s="28" t="n">
        <f aca="false">'Standard (6.625x10.25)'!B11</f>
        <v>0.339</v>
      </c>
      <c r="F9" s="29" t="n">
        <f aca="false">'Standard (6.625x10.25)'!D11</f>
        <v>3.54296</v>
      </c>
      <c r="G9" s="29" t="n">
        <f aca="false">A9*F9</f>
        <v>70.8592</v>
      </c>
      <c r="H9" s="28" t="n">
        <f aca="false">'Magazine (8x10.5)'!B11</f>
        <v>0.215</v>
      </c>
      <c r="I9" s="29" t="n">
        <f aca="false">'Magazine (8x10.5)'!D11</f>
        <v>4.38815</v>
      </c>
      <c r="J9" s="29" t="n">
        <f aca="false">A9*I9</f>
        <v>87.763</v>
      </c>
      <c r="K9" s="28" t="n">
        <f aca="false">'Letter (8.5x11)'!B11</f>
        <v>0.215</v>
      </c>
      <c r="L9" s="29" t="n">
        <f aca="false">'Letter (8.5x11)'!D11</f>
        <v>4.38815</v>
      </c>
      <c r="M9" s="29" t="n">
        <f aca="false">A9*L9</f>
        <v>87.763</v>
      </c>
    </row>
    <row r="10" customFormat="false" ht="15" hidden="false" customHeight="true" outlineLevel="0" collapsed="false">
      <c r="A10" s="27" t="n">
        <v>25</v>
      </c>
      <c r="B10" s="28" t="n">
        <f aca="false">'A5 (5.8x8.3)'!B12</f>
        <v>0.357</v>
      </c>
      <c r="C10" s="29" t="n">
        <f aca="false">'A5 (5.8x8.3)'!D12</f>
        <v>2.61701</v>
      </c>
      <c r="D10" s="29" t="n">
        <f aca="false">A10*C10</f>
        <v>65.42525</v>
      </c>
      <c r="E10" s="28" t="n">
        <f aca="false">'Standard (6.625x10.25)'!B12</f>
        <v>0.366</v>
      </c>
      <c r="F10" s="29" t="n">
        <f aca="false">'Standard (6.625x10.25)'!D12</f>
        <v>3.39824</v>
      </c>
      <c r="G10" s="29" t="n">
        <f aca="false">A10*F10</f>
        <v>84.956</v>
      </c>
      <c r="H10" s="28" t="n">
        <f aca="false">'Magazine (8x10.5)'!B12</f>
        <v>0.271</v>
      </c>
      <c r="I10" s="29" t="n">
        <f aca="false">'Magazine (8x10.5)'!D12</f>
        <v>4.07511</v>
      </c>
      <c r="J10" s="29" t="n">
        <f aca="false">A10*I10</f>
        <v>101.87775</v>
      </c>
      <c r="K10" s="28" t="n">
        <f aca="false">'Letter (8.5x11)'!B12</f>
        <v>0.271</v>
      </c>
      <c r="L10" s="29" t="n">
        <f aca="false">'Letter (8.5x11)'!D12</f>
        <v>4.07511</v>
      </c>
      <c r="M10" s="29" t="n">
        <f aca="false">A10*L10</f>
        <v>101.87775</v>
      </c>
    </row>
    <row r="11" customFormat="false" ht="15" hidden="false" customHeight="true" outlineLevel="0" collapsed="false">
      <c r="A11" s="27" t="n">
        <v>50</v>
      </c>
      <c r="B11" s="28" t="n">
        <f aca="false">'A5 (5.8x8.3)'!B13</f>
        <v>0.433</v>
      </c>
      <c r="C11" s="29" t="n">
        <f aca="false">'A5 (5.8x8.3)'!D13</f>
        <v>2.30769</v>
      </c>
      <c r="D11" s="29" t="n">
        <f aca="false">A11*C11</f>
        <v>115.3845</v>
      </c>
      <c r="E11" s="28" t="n">
        <f aca="false">'Standard (6.625x10.25)'!B13</f>
        <v>0.436</v>
      </c>
      <c r="F11" s="29" t="n">
        <f aca="false">'Standard (6.625x10.25)'!D13</f>
        <v>3.02304</v>
      </c>
      <c r="G11" s="29" t="n">
        <f aca="false">A11*F11</f>
        <v>151.152</v>
      </c>
      <c r="H11" s="28" t="n">
        <f aca="false">'Magazine (8x10.5)'!B13</f>
        <v>0.343</v>
      </c>
      <c r="I11" s="29" t="n">
        <f aca="false">'Magazine (8x10.5)'!D13</f>
        <v>3.67263</v>
      </c>
      <c r="J11" s="29" t="n">
        <f aca="false">A11*I11</f>
        <v>183.6315</v>
      </c>
      <c r="K11" s="28" t="n">
        <f aca="false">'Letter (8.5x11)'!B13</f>
        <v>0.343</v>
      </c>
      <c r="L11" s="29" t="n">
        <f aca="false">'Letter (8.5x11)'!D13</f>
        <v>3.67263</v>
      </c>
      <c r="M11" s="29" t="n">
        <f aca="false">A11*L11</f>
        <v>183.6315</v>
      </c>
    </row>
    <row r="12" customFormat="false" ht="15" hidden="false" customHeight="true" outlineLevel="0" collapsed="false">
      <c r="A12" s="27" t="n">
        <v>75</v>
      </c>
      <c r="B12" s="28" t="n">
        <f aca="false">'A5 (5.8x8.3)'!B14</f>
        <v>0.469</v>
      </c>
      <c r="C12" s="29" t="n">
        <f aca="false">'A5 (5.8x8.3)'!D14</f>
        <v>2.16117</v>
      </c>
      <c r="D12" s="29" t="n">
        <f aca="false">A12*C12</f>
        <v>162.08775</v>
      </c>
      <c r="E12" s="28" t="n">
        <f aca="false">'Standard (6.625x10.25)'!B14</f>
        <v>0.467</v>
      </c>
      <c r="F12" s="29" t="n">
        <f aca="false">'Standard (6.625x10.25)'!D14</f>
        <v>2.85688</v>
      </c>
      <c r="G12" s="29" t="n">
        <f aca="false">A12*F12</f>
        <v>214.266</v>
      </c>
      <c r="H12" s="28" t="n">
        <f aca="false">'Magazine (8x10.5)'!B14</f>
        <v>0.372</v>
      </c>
      <c r="I12" s="29" t="n">
        <f aca="false">'Magazine (8x10.5)'!D14</f>
        <v>3.51052</v>
      </c>
      <c r="J12" s="29" t="n">
        <f aca="false">A12*I12</f>
        <v>263.289</v>
      </c>
      <c r="K12" s="28" t="n">
        <f aca="false">'Letter (8.5x11)'!B14</f>
        <v>0.372</v>
      </c>
      <c r="L12" s="29" t="n">
        <f aca="false">'Letter (8.5x11)'!D14</f>
        <v>3.51052</v>
      </c>
      <c r="M12" s="29" t="n">
        <f aca="false">A12*L12</f>
        <v>263.289</v>
      </c>
    </row>
    <row r="13" customFormat="false" ht="15" hidden="false" customHeight="true" outlineLevel="0" collapsed="false">
      <c r="A13" s="27" t="n">
        <v>100</v>
      </c>
      <c r="B13" s="28" t="n">
        <f aca="false">'A5 (5.8x8.3)'!B15</f>
        <v>0.541</v>
      </c>
      <c r="C13" s="29" t="n">
        <f aca="false">'A5 (5.8x8.3)'!D15</f>
        <v>1.86813</v>
      </c>
      <c r="D13" s="29" t="n">
        <f aca="false">A13*C13</f>
        <v>186.813</v>
      </c>
      <c r="E13" s="28" t="n">
        <f aca="false">'Standard (6.625x10.25)'!B15</f>
        <v>0.511</v>
      </c>
      <c r="F13" s="29" t="n">
        <f aca="false">'Standard (6.625x10.25)'!D15</f>
        <v>2.62104</v>
      </c>
      <c r="G13" s="29" t="n">
        <f aca="false">A13*F13</f>
        <v>262.104</v>
      </c>
      <c r="H13" s="28" t="n">
        <f aca="false">'Magazine (8x10.5)'!B15</f>
        <v>0.433</v>
      </c>
      <c r="I13" s="29" t="n">
        <f aca="false">'Magazine (8x10.5)'!D15</f>
        <v>3.16953</v>
      </c>
      <c r="J13" s="29" t="n">
        <f aca="false">A13*I13</f>
        <v>316.953</v>
      </c>
      <c r="K13" s="28" t="n">
        <f aca="false">'Letter (8.5x11)'!B15</f>
        <v>0.433</v>
      </c>
      <c r="L13" s="29" t="n">
        <f aca="false">'Letter (8.5x11)'!D15</f>
        <v>3.16953</v>
      </c>
      <c r="M13" s="29" t="n">
        <f aca="false">A13*L13</f>
        <v>316.953</v>
      </c>
    </row>
    <row r="14" customFormat="false" ht="15" hidden="false" customHeight="true" outlineLevel="0" collapsed="false">
      <c r="A14" s="27" t="n">
        <v>250</v>
      </c>
      <c r="B14" s="28" t="n">
        <f aca="false">'A5 (5.8x8.3)'!B16</f>
        <v>0.619</v>
      </c>
      <c r="C14" s="29" t="n">
        <f aca="false">'A5 (5.8x8.3)'!D16</f>
        <v>1.55067</v>
      </c>
      <c r="D14" s="29" t="n">
        <f aca="false">A14*C14</f>
        <v>387.6675</v>
      </c>
      <c r="E14" s="28" t="n">
        <f aca="false">'Standard (6.625x10.25)'!B16</f>
        <v>0.555</v>
      </c>
      <c r="F14" s="29" t="n">
        <f aca="false">'Standard (6.625x10.25)'!D16</f>
        <v>2.3852</v>
      </c>
      <c r="G14" s="29" t="n">
        <f aca="false">A14*F14</f>
        <v>596.3</v>
      </c>
      <c r="H14" s="28" t="n">
        <f aca="false">'Magazine (8x10.5)'!B16</f>
        <v>0.514</v>
      </c>
      <c r="I14" s="29" t="n">
        <f aca="false">'Magazine (8x10.5)'!D16</f>
        <v>2.71674</v>
      </c>
      <c r="J14" s="29" t="n">
        <f aca="false">A14*I14</f>
        <v>679.185</v>
      </c>
      <c r="K14" s="28" t="n">
        <f aca="false">'Letter (8.5x11)'!B16</f>
        <v>0.514</v>
      </c>
      <c r="L14" s="29" t="n">
        <f aca="false">'Letter (8.5x11)'!D16</f>
        <v>2.71674</v>
      </c>
      <c r="M14" s="29" t="n">
        <f aca="false">A14*L14</f>
        <v>679.185</v>
      </c>
    </row>
    <row r="15" customFormat="false" ht="15" hidden="false" customHeight="true" outlineLevel="0" collapsed="false">
      <c r="A15" s="27" t="n">
        <v>300</v>
      </c>
      <c r="B15" s="28" t="n">
        <f aca="false">'A5 (5.8x8.3)'!B17</f>
        <v>0.66</v>
      </c>
      <c r="C15" s="29" t="n">
        <f aca="false">'A5 (5.8x8.3)'!D17</f>
        <v>1.3838</v>
      </c>
      <c r="D15" s="29" t="n">
        <f aca="false">A15*C15</f>
        <v>415.14</v>
      </c>
      <c r="E15" s="28" t="n">
        <f aca="false">'Standard (6.625x10.25)'!B17</f>
        <v>0.569</v>
      </c>
      <c r="F15" s="29" t="n">
        <f aca="false">'Standard (6.625x10.25)'!D17</f>
        <v>2.31016</v>
      </c>
      <c r="G15" s="29" t="n">
        <f aca="false">A15*F15</f>
        <v>693.048</v>
      </c>
      <c r="H15" s="28" t="n">
        <f aca="false">'Magazine (8x10.5)'!B17</f>
        <v>0.554</v>
      </c>
      <c r="I15" s="29" t="n">
        <f aca="false">'Magazine (8x10.5)'!D17</f>
        <v>2.49314</v>
      </c>
      <c r="J15" s="29" t="n">
        <f aca="false">A15*I15</f>
        <v>747.942</v>
      </c>
      <c r="K15" s="28" t="n">
        <f aca="false">'Letter (8.5x11)'!B17</f>
        <v>0.554</v>
      </c>
      <c r="L15" s="29" t="n">
        <f aca="false">'Letter (8.5x11)'!D17</f>
        <v>2.49314</v>
      </c>
      <c r="M15" s="29" t="n">
        <f aca="false">A15*L15</f>
        <v>747.942</v>
      </c>
    </row>
    <row r="16" customFormat="false" ht="15" hidden="false" customHeight="true" outlineLevel="0" collapsed="false">
      <c r="A16" s="27" t="n">
        <v>500</v>
      </c>
      <c r="B16" s="28" t="n">
        <f aca="false">'A5 (5.8x8.3)'!B18</f>
        <v>0.688</v>
      </c>
      <c r="C16" s="29" t="n">
        <f aca="false">'A5 (5.8x8.3)'!D18</f>
        <v>1.26984</v>
      </c>
      <c r="D16" s="29" t="n">
        <f aca="false">A16*C16</f>
        <v>634.92</v>
      </c>
      <c r="E16" s="28" t="n">
        <f aca="false">'Standard (6.625x10.25)'!B18</f>
        <v>0.598</v>
      </c>
      <c r="F16" s="29" t="n">
        <f aca="false">'Standard (6.625x10.25)'!D18</f>
        <v>2.15472</v>
      </c>
      <c r="G16" s="29" t="n">
        <f aca="false">A16*F16</f>
        <v>1077.36</v>
      </c>
      <c r="H16" s="28" t="n">
        <f aca="false">'Magazine (8x10.5)'!B18</f>
        <v>0.586</v>
      </c>
      <c r="I16" s="29" t="n">
        <f aca="false">'Magazine (8x10.5)'!D18</f>
        <v>2.31426</v>
      </c>
      <c r="J16" s="29" t="n">
        <f aca="false">A16*I16</f>
        <v>1157.13</v>
      </c>
      <c r="K16" s="28" t="n">
        <f aca="false">'Letter (8.5x11)'!B18</f>
        <v>0.586</v>
      </c>
      <c r="L16" s="29" t="n">
        <f aca="false">'Letter (8.5x11)'!D18</f>
        <v>2.31426</v>
      </c>
      <c r="M16" s="29" t="n">
        <f aca="false">A16*L16</f>
        <v>1157.13</v>
      </c>
    </row>
    <row r="17" customFormat="false" ht="15" hidden="false" customHeight="true" outlineLevel="0" collapsed="false">
      <c r="A17" s="27" t="n">
        <v>750</v>
      </c>
      <c r="B17" s="28" t="n">
        <f aca="false">'A5 (5.8x8.3)'!B19</f>
        <v>0.711</v>
      </c>
      <c r="C17" s="29" t="n">
        <f aca="false">'A5 (5.8x8.3)'!D19</f>
        <v>1.17623</v>
      </c>
      <c r="D17" s="29" t="n">
        <f aca="false">A17*C17</f>
        <v>882.1725</v>
      </c>
      <c r="E17" s="28" t="n">
        <f aca="false">'Standard (6.625x10.25)'!B19</f>
        <v>0.621</v>
      </c>
      <c r="F17" s="29" t="n">
        <f aca="false">'Standard (6.625x10.25)'!D19</f>
        <v>2.03144</v>
      </c>
      <c r="G17" s="29" t="n">
        <f aca="false">A17*F17</f>
        <v>1523.58</v>
      </c>
      <c r="H17" s="28" t="n">
        <f aca="false">'Magazine (8x10.5)'!B19</f>
        <v>0.61</v>
      </c>
      <c r="I17" s="29" t="n">
        <f aca="false">'Magazine (8x10.5)'!D19</f>
        <v>2.1801</v>
      </c>
      <c r="J17" s="29" t="n">
        <f aca="false">A17*I17</f>
        <v>1635.075</v>
      </c>
      <c r="K17" s="28" t="n">
        <f aca="false">'Letter (8.5x11)'!B19</f>
        <v>0.61</v>
      </c>
      <c r="L17" s="29" t="n">
        <f aca="false">'Letter (8.5x11)'!D19</f>
        <v>2.1801</v>
      </c>
      <c r="M17" s="29" t="n">
        <f aca="false">A17*L17</f>
        <v>1635.075</v>
      </c>
    </row>
    <row r="18" customFormat="false" ht="15" hidden="false" customHeight="true" outlineLevel="0" collapsed="false">
      <c r="A18" s="27" t="n">
        <v>1000</v>
      </c>
      <c r="B18" s="28" t="n">
        <f aca="false">'A5 (5.8x8.3)'!B20</f>
        <v>0.75</v>
      </c>
      <c r="C18" s="29" t="n">
        <f aca="false">'A5 (5.8x8.3)'!D20</f>
        <v>1.0175</v>
      </c>
      <c r="D18" s="29" t="n">
        <f aca="false">A18*C18</f>
        <v>1017.5</v>
      </c>
      <c r="E18" s="28" t="n">
        <f aca="false">'Standard (6.625x10.25)'!B20</f>
        <v>0.669</v>
      </c>
      <c r="F18" s="29" t="n">
        <f aca="false">'Standard (6.625x10.25)'!D20</f>
        <v>1.77416</v>
      </c>
      <c r="G18" s="29" t="n">
        <f aca="false">A18*F18</f>
        <v>1774.16</v>
      </c>
      <c r="H18" s="28" t="n">
        <f aca="false">'Magazine (8x10.5)'!B20</f>
        <v>0.66</v>
      </c>
      <c r="I18" s="29" t="n">
        <f aca="false">'Magazine (8x10.5)'!D20</f>
        <v>1.9006</v>
      </c>
      <c r="J18" s="29" t="n">
        <f aca="false">A18*I18</f>
        <v>1900.6</v>
      </c>
      <c r="K18" s="28" t="n">
        <f aca="false">'Letter (8.5x11)'!B20</f>
        <v>0.66</v>
      </c>
      <c r="L18" s="29" t="n">
        <f aca="false">'Letter (8.5x11)'!D20</f>
        <v>1.9006</v>
      </c>
      <c r="M18" s="29" t="n">
        <f aca="false">A18*L18</f>
        <v>1900.6</v>
      </c>
    </row>
    <row r="21" customFormat="false" ht="15" hidden="false" customHeight="true" outlineLevel="0" collapsed="false">
      <c r="A21" s="4" t="s">
        <v>110</v>
      </c>
    </row>
    <row r="22" customFormat="false" ht="15" hidden="false" customHeight="true" outlineLevel="0" collapsed="false">
      <c r="A22" s="3" t="s">
        <v>111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true" outlineLevel="0" collapsed="false">
      <c r="A23" s="3" t="s">
        <v>112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5" hidden="false" customHeight="true" outlineLevel="0" collapsed="false">
      <c r="A24" s="3" t="s">
        <v>113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true" outlineLevel="0" collapsed="false">
      <c r="A25" s="3" t="s">
        <v>114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5" hidden="false" customHeight="true" outlineLevel="0" collapsed="false">
      <c r="A26" s="3" t="s">
        <v>115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</sheetData>
  <mergeCells count="12">
    <mergeCell ref="A1:M1"/>
    <mergeCell ref="A2:M2"/>
    <mergeCell ref="A4:A5"/>
    <mergeCell ref="B4:D4"/>
    <mergeCell ref="E4:G4"/>
    <mergeCell ref="H4:J4"/>
    <mergeCell ref="K4:M4"/>
    <mergeCell ref="A22:M22"/>
    <mergeCell ref="A23:M23"/>
    <mergeCell ref="A24:M24"/>
    <mergeCell ref="A25:M25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2026-04-17T03:54:17Z</dcterms:created>
  <dc:creator>openpyxl</dc:creator>
  <dc:description/>
  <dc:language>en-US</dc:language>
  <cp:lastModifiedBy/>
  <dcterms:modified xsi:type="dcterms:W3CDTF">2026-04-17T05:53:03Z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