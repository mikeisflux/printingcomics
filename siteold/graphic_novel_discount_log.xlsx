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5 (5.8x8.3)" sheetId="1" state="visible" r:id="rId3"/>
    <sheet name="Standard (6.625x10.25)" sheetId="2" state="visible" r:id="rId4"/>
    <sheet name="Magazine (8x10.5)" sheetId="3" state="visible" r:id="rId5"/>
    <sheet name="Letter (8.5x11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<sst xmlns="http://schemas.openxmlformats.org/spreadsheetml/2006/main" count="452" uniqueCount="93">
  <si>
    <t xml:space="preserve">Comix Wellspring Graphic Novel A5 - Discount Log</t>
  </si>
  <si>
    <t xml:space="preserve">Source: comixwellspring.com/products/graphic-novels-a5-size. Perfect bound. Min 30 pages, max 350. Change list price in B5 to recalc.</t>
  </si>
  <si>
    <t xml:space="preserve">List Price / Book:</t>
  </si>
  <si>
    <t xml:space="preserve">(site base list: $9.50)</t>
  </si>
  <si>
    <t xml:space="preserve">Quantity</t>
  </si>
  <si>
    <t xml:space="preserve">Discount %</t>
  </si>
  <si>
    <t xml:space="preserve">List Price / Book</t>
  </si>
  <si>
    <t xml:space="preserve">Discounted Price / Book</t>
  </si>
  <si>
    <t xml:space="preserve">Subtotal (List)</t>
  </si>
  <si>
    <t xml:space="preserve">Total After Discount</t>
  </si>
  <si>
    <t xml:space="preserve">Total Savings</t>
  </si>
  <si>
    <t xml:space="preserve">Savings per Book</t>
  </si>
  <si>
    <t xml:space="preserve">Notes</t>
  </si>
  <si>
    <t xml:space="preserve">Analysis</t>
  </si>
  <si>
    <t xml:space="preserve">Site</t>
  </si>
  <si>
    <t xml:space="preserve">Max discount</t>
  </si>
  <si>
    <t xml:space="preserve">Cheapest per book</t>
  </si>
  <si>
    <t xml:space="preserve">Total at 1000</t>
  </si>
  <si>
    <t xml:space="preserve">Savings at 1000</t>
  </si>
  <si>
    <t xml:space="preserve">Site - max published tier</t>
  </si>
  <si>
    <t xml:space="preserve">Cover Upgrades - Per-Book Add-On (discounted along with base)</t>
  </si>
  <si>
    <t xml:space="preserve">Pick a cover and a quantity below; calculator shows final per-book and total. Upgrade price adds to list, then quantity discount applies to the combined amount.</t>
  </si>
  <si>
    <t xml:space="preserve">Cover Option</t>
  </si>
  <si>
    <t xml:space="preserve">Upgrade $/book</t>
  </si>
  <si>
    <t xml:space="preserve">Paper Stock</t>
  </si>
  <si>
    <t xml:space="preserve">Standard Matte</t>
  </si>
  <si>
    <t xml:space="preserve">80lb Uncoated Cover</t>
  </si>
  <si>
    <t xml:space="preserve">Standard Semi-Gloss</t>
  </si>
  <si>
    <t xml:space="preserve">80lb Silk Cover</t>
  </si>
  <si>
    <t xml:space="preserve">Standard Gloss</t>
  </si>
  <si>
    <t xml:space="preserve">80lb Coated Cover</t>
  </si>
  <si>
    <t xml:space="preserve">Deluxe Gloss</t>
  </si>
  <si>
    <t xml:space="preserve">100lb Gloss Cover</t>
  </si>
  <si>
    <t xml:space="preserve">Holo-Chrome</t>
  </si>
  <si>
    <t xml:space="preserve">12pt Holo-Chrome Card Stock</t>
  </si>
  <si>
    <t xml:space="preserve">Lamination Embellishment</t>
  </si>
  <si>
    <t xml:space="preserve">Lamination Style</t>
  </si>
  <si>
    <t xml:space="preserve">$/book</t>
  </si>
  <si>
    <t xml:space="preserve">None</t>
  </si>
  <si>
    <t xml:space="preserve">Gloss</t>
  </si>
  <si>
    <t xml:space="preserve">Matte</t>
  </si>
  <si>
    <t xml:space="preserve">UV Embellishment</t>
  </si>
  <si>
    <t xml:space="preserve">UV Style</t>
  </si>
  <si>
    <t xml:space="preserve">UV Coat</t>
  </si>
  <si>
    <t xml:space="preserve">Spot UV</t>
  </si>
  <si>
    <t xml:space="preserve">Foil Cover Embellishment</t>
  </si>
  <si>
    <t xml:space="preserve">Foil Color</t>
  </si>
  <si>
    <t xml:space="preserve">Iridescent Silver</t>
  </si>
  <si>
    <t xml:space="preserve">Gold</t>
  </si>
  <si>
    <t xml:space="preserve">Copper</t>
  </si>
  <si>
    <t xml:space="preserve">Red</t>
  </si>
  <si>
    <t xml:space="preserve">Blue</t>
  </si>
  <si>
    <t xml:space="preserve">Quick Calculator</t>
  </si>
  <si>
    <t xml:space="preserve">Pick options below (use 'None' to skip an embellishment). All upgrades add to list price, then full quantity discount applies.</t>
  </si>
  <si>
    <t xml:space="preserve">Cover option:</t>
  </si>
  <si>
    <t xml:space="preserve">Lamination:</t>
  </si>
  <si>
    <t xml:space="preserve">UV:</t>
  </si>
  <si>
    <t xml:space="preserve">Foil:</t>
  </si>
  <si>
    <t xml:space="preserve">Quantity:</t>
  </si>
  <si>
    <t xml:space="preserve">Base list price/book</t>
  </si>
  <si>
    <t xml:space="preserve">Cover upgrade $/book</t>
  </si>
  <si>
    <t xml:space="preserve">Lamination $/book</t>
  </si>
  <si>
    <t xml:space="preserve">UV $/book</t>
  </si>
  <si>
    <t xml:space="preserve">Foil $/book</t>
  </si>
  <si>
    <t xml:space="preserve">Combined list $/book</t>
  </si>
  <si>
    <t xml:space="preserve">Discount applied</t>
  </si>
  <si>
    <t xml:space="preserve">Final $/book</t>
  </si>
  <si>
    <t xml:space="preserve">Total order</t>
  </si>
  <si>
    <t xml:space="preserve">Pages - Grayscale</t>
  </si>
  <si>
    <t xml:space="preserve">Pages - Grayscale Uncoated</t>
  </si>
  <si>
    <t xml:space="preserve">Pages - Grayscale Semi Gloss</t>
  </si>
  <si>
    <t xml:space="preserve">Pages - Grayscale Gloss</t>
  </si>
  <si>
    <t xml:space="preserve">Baseline 30 pages = $0. +$0.17 per 4 additional pages.</t>
  </si>
  <si>
    <t xml:space="preserve">Baseline 30 pages = $0. +$0.18 per 4 additional pages.</t>
  </si>
  <si>
    <t xml:space="preserve">Interior Pages</t>
  </si>
  <si>
    <t xml:space="preserve">Pages - Full Color</t>
  </si>
  <si>
    <t xml:space="preserve">Pages - Full Color Uncoated</t>
  </si>
  <si>
    <t xml:space="preserve">Pages - Full Color Semi Gloss</t>
  </si>
  <si>
    <t xml:space="preserve">Pages - Full Color Gloss</t>
  </si>
  <si>
    <t xml:space="preserve">Baseline 30 pages = $0. +$0.26 per 4 additional pages.</t>
  </si>
  <si>
    <t xml:space="preserve">Baseline 30 pages = $0. +$0.28 per 4 additional pages.</t>
  </si>
  <si>
    <t xml:space="preserve">Comix Wellspring Graphic Novel Standard - Discount Log</t>
  </si>
  <si>
    <t xml:space="preserve">Source: comixwellspring.com/products/graphic-novels-standard-size. Perfect bound. Min 30 pages, max 350. Change list price in B5 to recalc.</t>
  </si>
  <si>
    <t xml:space="preserve">(site base list: $15.00)</t>
  </si>
  <si>
    <t xml:space="preserve">Comix Wellspring Graphic Novel Magazine - Discount Log</t>
  </si>
  <si>
    <t xml:space="preserve">Source: comixwellspring.com/products/graphic-novels-magazine-size. Perfect bound. Change list price in B5 to recalc. Fill Discount % column in B8:B20 from site screenshots.</t>
  </si>
  <si>
    <t xml:space="preserve">(site base list: $15.69)</t>
  </si>
  <si>
    <t xml:space="preserve">Comix Wellspring Graphic Novel Letter - Discount Log</t>
  </si>
  <si>
    <t xml:space="preserve">Source: comixwellspring.com/products/graphic-novels-letter-size. Perfect bound. Same discount curve and base price as Magazine ($15.69). Change list price in B5 to recalc.</t>
  </si>
  <si>
    <t xml:space="preserve">Self Cover</t>
  </si>
  <si>
    <t xml:space="preserve">Same as Interior Selection</t>
  </si>
  <si>
    <t xml:space="preserve">Premium Gloss</t>
  </si>
  <si>
    <t xml:space="preserve">12pt Gloss Card Stock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</si>
</sst>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0.0%"/>
    <numFmt numFmtId="168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20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5" customFormat="false" ht="15" hidden="false" customHeight="true" outlineLevel="0" collapsed="false">
      <c r="A5" s="4" t="s">
        <v>2</v>
      </c>
      <c r="B5" s="5" t="n">
        <v>9.5</v>
      </c>
      <c r="C5" s="3" t="s">
        <v>3</v>
      </c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K7" s="7" t="s">
        <v>13</v>
      </c>
      <c r="L7" s="7"/>
    </row>
    <row r="8" customFormat="false" ht="15" hidden="false" customHeight="true" outlineLevel="0" collapsed="false">
      <c r="A8" s="8" t="n">
        <v>1</v>
      </c>
      <c r="B8" s="9" t="n">
        <v>0</v>
      </c>
      <c r="C8" s="10" t="n">
        <f aca="false">$B$5</f>
        <v>9.5</v>
      </c>
      <c r="D8" s="10" t="n">
        <f aca="false">C8*(1-B8)</f>
        <v>9.5</v>
      </c>
      <c r="E8" s="11" t="n">
        <f aca="false">A8*C8</f>
        <v>9.5</v>
      </c>
      <c r="F8" s="11" t="n">
        <f aca="false">A8*D8</f>
        <v>9.5</v>
      </c>
      <c r="G8" s="11" t="n">
        <f aca="false">E8-F8</f>
        <v>0</v>
      </c>
      <c r="H8" s="10" t="n">
        <f aca="false">C8-D8</f>
        <v>0</v>
      </c>
      <c r="I8" s="12" t="s">
        <v>14</v>
      </c>
      <c r="K8" s="13" t="s">
        <v>15</v>
      </c>
      <c r="L8" s="14" t="n">
        <f aca="false">MAX(B8:B20)</f>
        <v>0.71</v>
      </c>
    </row>
    <row r="9" customFormat="false" ht="15" hidden="false" customHeight="true" outlineLevel="0" collapsed="false">
      <c r="A9" s="8" t="n">
        <v>2</v>
      </c>
      <c r="B9" s="9" t="n">
        <v>0.033</v>
      </c>
      <c r="C9" s="10" t="n">
        <f aca="false">$B$5</f>
        <v>9.5</v>
      </c>
      <c r="D9" s="10" t="n">
        <f aca="false">C9*(1-B9)</f>
        <v>9.1865</v>
      </c>
      <c r="E9" s="11" t="n">
        <f aca="false">A9*C9</f>
        <v>19</v>
      </c>
      <c r="F9" s="11" t="n">
        <f aca="false">A9*D9</f>
        <v>18.373</v>
      </c>
      <c r="G9" s="11" t="n">
        <f aca="false">E9-F9</f>
        <v>0.626999999999999</v>
      </c>
      <c r="H9" s="10" t="n">
        <f aca="false">C9-D9</f>
        <v>0.313499999999999</v>
      </c>
      <c r="I9" s="12" t="s">
        <v>14</v>
      </c>
      <c r="K9" s="13" t="s">
        <v>16</v>
      </c>
      <c r="L9" s="15" t="n">
        <f aca="false">MIN(D8:D20)</f>
        <v>2.755</v>
      </c>
    </row>
    <row r="10" customFormat="false" ht="15" hidden="false" customHeight="true" outlineLevel="0" collapsed="false">
      <c r="A10" s="8" t="n">
        <v>5</v>
      </c>
      <c r="B10" s="9" t="n">
        <v>0.147</v>
      </c>
      <c r="C10" s="10" t="n">
        <f aca="false">$B$5</f>
        <v>9.5</v>
      </c>
      <c r="D10" s="10" t="n">
        <f aca="false">C10*(1-B10)</f>
        <v>8.1035</v>
      </c>
      <c r="E10" s="11" t="n">
        <f aca="false">A10*C10</f>
        <v>47.5</v>
      </c>
      <c r="F10" s="11" t="n">
        <f aca="false">A10*D10</f>
        <v>40.5175</v>
      </c>
      <c r="G10" s="11" t="n">
        <f aca="false">E10-F10</f>
        <v>6.9825</v>
      </c>
      <c r="H10" s="10" t="n">
        <f aca="false">C10-D10</f>
        <v>1.3965</v>
      </c>
      <c r="I10" s="12" t="s">
        <v>14</v>
      </c>
      <c r="K10" s="13" t="s">
        <v>17</v>
      </c>
      <c r="L10" s="15" t="n">
        <f aca="false">F20</f>
        <v>2755</v>
      </c>
    </row>
    <row r="11" customFormat="false" ht="15" hidden="false" customHeight="true" outlineLevel="0" collapsed="false">
      <c r="A11" s="8" t="n">
        <v>20</v>
      </c>
      <c r="B11" s="9" t="n">
        <v>0.445</v>
      </c>
      <c r="C11" s="10" t="n">
        <f aca="false">$B$5</f>
        <v>9.5</v>
      </c>
      <c r="D11" s="10" t="n">
        <f aca="false">C11*(1-B11)</f>
        <v>5.2725</v>
      </c>
      <c r="E11" s="11" t="n">
        <f aca="false">A11*C11</f>
        <v>190</v>
      </c>
      <c r="F11" s="11" t="n">
        <f aca="false">A11*D11</f>
        <v>105.45</v>
      </c>
      <c r="G11" s="11" t="n">
        <f aca="false">E11-F11</f>
        <v>84.55</v>
      </c>
      <c r="H11" s="10" t="n">
        <f aca="false">C11-D11</f>
        <v>4.2275</v>
      </c>
      <c r="I11" s="12" t="s">
        <v>14</v>
      </c>
      <c r="K11" s="13" t="s">
        <v>18</v>
      </c>
      <c r="L11" s="15" t="n">
        <f aca="false">G20</f>
        <v>6745</v>
      </c>
    </row>
    <row r="12" customFormat="false" ht="15" hidden="false" customHeight="true" outlineLevel="0" collapsed="false">
      <c r="A12" s="8" t="n">
        <v>25</v>
      </c>
      <c r="B12" s="9" t="n">
        <v>0.456</v>
      </c>
      <c r="C12" s="10" t="n">
        <f aca="false">$B$5</f>
        <v>9.5</v>
      </c>
      <c r="D12" s="10" t="n">
        <f aca="false">C12*(1-B12)</f>
        <v>5.168</v>
      </c>
      <c r="E12" s="11" t="n">
        <f aca="false">A12*C12</f>
        <v>237.5</v>
      </c>
      <c r="F12" s="11" t="n">
        <f aca="false">A12*D12</f>
        <v>129.2</v>
      </c>
      <c r="G12" s="11" t="n">
        <f aca="false">E12-F12</f>
        <v>108.3</v>
      </c>
      <c r="H12" s="10" t="n">
        <f aca="false">C12-D12</f>
        <v>4.332</v>
      </c>
      <c r="I12" s="12" t="s">
        <v>14</v>
      </c>
    </row>
    <row r="13" customFormat="false" ht="15" hidden="false" customHeight="true" outlineLevel="0" collapsed="false">
      <c r="A13" s="8" t="n">
        <v>50</v>
      </c>
      <c r="B13" s="9" t="n">
        <v>0.526</v>
      </c>
      <c r="C13" s="10" t="n">
        <f aca="false">$B$5</f>
        <v>9.5</v>
      </c>
      <c r="D13" s="10" t="n">
        <f aca="false">C13*(1-B13)</f>
        <v>4.503</v>
      </c>
      <c r="E13" s="11" t="n">
        <f aca="false">A13*C13</f>
        <v>475</v>
      </c>
      <c r="F13" s="11" t="n">
        <f aca="false">A13*D13</f>
        <v>225.15</v>
      </c>
      <c r="G13" s="11" t="n">
        <f aca="false">E13-F13</f>
        <v>249.85</v>
      </c>
      <c r="H13" s="10" t="n">
        <f aca="false">C13-D13</f>
        <v>4.997</v>
      </c>
      <c r="I13" s="12" t="s">
        <v>14</v>
      </c>
    </row>
    <row r="14" customFormat="false" ht="15" hidden="false" customHeight="true" outlineLevel="0" collapsed="false">
      <c r="A14" s="8" t="n">
        <v>75</v>
      </c>
      <c r="B14" s="9" t="n">
        <v>0.544</v>
      </c>
      <c r="C14" s="10" t="n">
        <f aca="false">$B$5</f>
        <v>9.5</v>
      </c>
      <c r="D14" s="10" t="n">
        <f aca="false">C14*(1-B14)</f>
        <v>4.332</v>
      </c>
      <c r="E14" s="11" t="n">
        <f aca="false">A14*C14</f>
        <v>712.5</v>
      </c>
      <c r="F14" s="11" t="n">
        <f aca="false">A14*D14</f>
        <v>324.9</v>
      </c>
      <c r="G14" s="11" t="n">
        <f aca="false">E14-F14</f>
        <v>387.6</v>
      </c>
      <c r="H14" s="10" t="n">
        <f aca="false">C14-D14</f>
        <v>5.168</v>
      </c>
      <c r="I14" s="12" t="s">
        <v>14</v>
      </c>
    </row>
    <row r="15" customFormat="false" ht="15" hidden="false" customHeight="true" outlineLevel="0" collapsed="false">
      <c r="A15" s="8" t="n">
        <v>100</v>
      </c>
      <c r="B15" s="9" t="n">
        <v>0.552</v>
      </c>
      <c r="C15" s="10" t="n">
        <f aca="false">$B$5</f>
        <v>9.5</v>
      </c>
      <c r="D15" s="10" t="n">
        <f aca="false">C15*(1-B15)</f>
        <v>4.256</v>
      </c>
      <c r="E15" s="11" t="n">
        <f aca="false">A15*C15</f>
        <v>950</v>
      </c>
      <c r="F15" s="11" t="n">
        <f aca="false">A15*D15</f>
        <v>425.6</v>
      </c>
      <c r="G15" s="11" t="n">
        <f aca="false">E15-F15</f>
        <v>524.4</v>
      </c>
      <c r="H15" s="10" t="n">
        <f aca="false">C15-D15</f>
        <v>5.244</v>
      </c>
      <c r="I15" s="12" t="s">
        <v>14</v>
      </c>
    </row>
    <row r="16" customFormat="false" ht="15" hidden="false" customHeight="true" outlineLevel="0" collapsed="false">
      <c r="A16" s="8" t="n">
        <v>250</v>
      </c>
      <c r="B16" s="9" t="n">
        <v>0.586</v>
      </c>
      <c r="C16" s="10" t="n">
        <f aca="false">$B$5</f>
        <v>9.5</v>
      </c>
      <c r="D16" s="10" t="n">
        <f aca="false">C16*(1-B16)</f>
        <v>3.933</v>
      </c>
      <c r="E16" s="11" t="n">
        <f aca="false">A16*C16</f>
        <v>2375</v>
      </c>
      <c r="F16" s="11" t="n">
        <f aca="false">A16*D16</f>
        <v>983.25</v>
      </c>
      <c r="G16" s="11" t="n">
        <f aca="false">E16-F16</f>
        <v>1391.75</v>
      </c>
      <c r="H16" s="10" t="n">
        <f aca="false">C16-D16</f>
        <v>5.567</v>
      </c>
      <c r="I16" s="12" t="s">
        <v>14</v>
      </c>
    </row>
    <row r="17" customFormat="false" ht="15" hidden="false" customHeight="true" outlineLevel="0" collapsed="false">
      <c r="A17" s="8" t="n">
        <v>300</v>
      </c>
      <c r="B17" s="9" t="n">
        <v>0.6</v>
      </c>
      <c r="C17" s="10" t="n">
        <f aca="false">$B$5</f>
        <v>9.5</v>
      </c>
      <c r="D17" s="10" t="n">
        <f aca="false">C17*(1-B17)</f>
        <v>3.8</v>
      </c>
      <c r="E17" s="11" t="n">
        <f aca="false">A17*C17</f>
        <v>2850</v>
      </c>
      <c r="F17" s="11" t="n">
        <f aca="false">A17*D17</f>
        <v>1140</v>
      </c>
      <c r="G17" s="11" t="n">
        <f aca="false">E17-F17</f>
        <v>1710</v>
      </c>
      <c r="H17" s="10" t="n">
        <f aca="false">C17-D17</f>
        <v>5.7</v>
      </c>
      <c r="I17" s="12" t="s">
        <v>14</v>
      </c>
    </row>
    <row r="18" customFormat="false" ht="15" hidden="false" customHeight="true" outlineLevel="0" collapsed="false">
      <c r="A18" s="8" t="n">
        <v>500</v>
      </c>
      <c r="B18" s="9" t="n">
        <v>0.623</v>
      </c>
      <c r="C18" s="10" t="n">
        <f aca="false">$B$5</f>
        <v>9.5</v>
      </c>
      <c r="D18" s="10" t="n">
        <f aca="false">C18*(1-B18)</f>
        <v>3.5815</v>
      </c>
      <c r="E18" s="11" t="n">
        <f aca="false">A18*C18</f>
        <v>4750</v>
      </c>
      <c r="F18" s="11" t="n">
        <f aca="false">A18*D18</f>
        <v>1790.75</v>
      </c>
      <c r="G18" s="11" t="n">
        <f aca="false">E18-F18</f>
        <v>2959.25</v>
      </c>
      <c r="H18" s="10" t="n">
        <f aca="false">C18-D18</f>
        <v>5.9185</v>
      </c>
      <c r="I18" s="12" t="s">
        <v>14</v>
      </c>
    </row>
    <row r="19" customFormat="false" ht="15" hidden="false" customHeight="true" outlineLevel="0" collapsed="false">
      <c r="A19" s="8" t="n">
        <v>750</v>
      </c>
      <c r="B19" s="9" t="n">
        <v>0.652</v>
      </c>
      <c r="C19" s="10" t="n">
        <f aca="false">$B$5</f>
        <v>9.5</v>
      </c>
      <c r="D19" s="10" t="n">
        <f aca="false">C19*(1-B19)</f>
        <v>3.306</v>
      </c>
      <c r="E19" s="11" t="n">
        <f aca="false">A19*C19</f>
        <v>7125</v>
      </c>
      <c r="F19" s="11" t="n">
        <f aca="false">A19*D19</f>
        <v>2479.5</v>
      </c>
      <c r="G19" s="11" t="n">
        <f aca="false">E19-F19</f>
        <v>4645.5</v>
      </c>
      <c r="H19" s="10" t="n">
        <f aca="false">C19-D19</f>
        <v>6.194</v>
      </c>
      <c r="I19" s="12" t="s">
        <v>14</v>
      </c>
    </row>
    <row r="20" customFormat="false" ht="15" hidden="false" customHeight="true" outlineLevel="0" collapsed="false">
      <c r="A20" s="8" t="n">
        <v>1000</v>
      </c>
      <c r="B20" s="9" t="n">
        <v>0.71</v>
      </c>
      <c r="C20" s="10" t="n">
        <f aca="false">$B$5</f>
        <v>9.5</v>
      </c>
      <c r="D20" s="10" t="n">
        <f aca="false">C20*(1-B20)</f>
        <v>2.755</v>
      </c>
      <c r="E20" s="11" t="n">
        <f aca="false">A20*C20</f>
        <v>9500</v>
      </c>
      <c r="F20" s="11" t="n">
        <f aca="false">A20*D20</f>
        <v>2755</v>
      </c>
      <c r="G20" s="11" t="n">
        <f aca="false">E20-F20</f>
        <v>6745</v>
      </c>
      <c r="H20" s="10" t="n">
        <f aca="false">C20-D20</f>
        <v>6.745</v>
      </c>
      <c r="I20" s="12" t="s">
        <v>19</v>
      </c>
    </row>
    <row r="24" customFormat="false" ht="21.75" hidden="false" customHeight="true" outlineLevel="0" collapsed="false">
      <c r="A24" s="16" t="s">
        <v>20</v>
      </c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true" outlineLevel="0" collapsed="false">
      <c r="A25" s="17" t="s">
        <v>21</v>
      </c>
      <c r="B25" s="17"/>
      <c r="C25" s="17"/>
      <c r="D25" s="17"/>
      <c r="E25" s="17"/>
      <c r="F25" s="17"/>
      <c r="G25" s="17"/>
      <c r="H25" s="17"/>
      <c r="I25" s="17"/>
    </row>
    <row r="27" customFormat="false" ht="15" hidden="false" customHeight="true" outlineLevel="0" collapsed="false">
      <c r="A27" s="18" t="s">
        <v>22</v>
      </c>
      <c r="B27" s="18" t="s">
        <v>23</v>
      </c>
      <c r="C27" s="18" t="s">
        <v>24</v>
      </c>
    </row>
    <row r="28" customFormat="false" ht="15" hidden="false" customHeight="true" outlineLevel="0" collapsed="false">
      <c r="A28" s="19" t="s">
        <v>25</v>
      </c>
      <c r="B28" s="20" t="n">
        <v>0.51</v>
      </c>
      <c r="C28" s="19" t="s">
        <v>26</v>
      </c>
    </row>
    <row r="29" customFormat="false" ht="15" hidden="false" customHeight="true" outlineLevel="0" collapsed="false">
      <c r="A29" s="19" t="s">
        <v>27</v>
      </c>
      <c r="B29" s="20" t="n">
        <v>0.15</v>
      </c>
      <c r="C29" s="19" t="s">
        <v>28</v>
      </c>
    </row>
    <row r="30" customFormat="false" ht="15" hidden="false" customHeight="true" outlineLevel="0" collapsed="false">
      <c r="A30" s="19" t="s">
        <v>29</v>
      </c>
      <c r="B30" s="20" t="n">
        <v>0</v>
      </c>
      <c r="C30" s="19" t="s">
        <v>30</v>
      </c>
    </row>
    <row r="31" customFormat="false" ht="15" hidden="false" customHeight="true" outlineLevel="0" collapsed="false">
      <c r="A31" s="19" t="s">
        <v>31</v>
      </c>
      <c r="B31" s="20" t="n">
        <v>0.15</v>
      </c>
      <c r="C31" s="19" t="s">
        <v>32</v>
      </c>
    </row>
    <row r="32" customFormat="false" ht="15" hidden="false" customHeight="true" outlineLevel="0" collapsed="false">
      <c r="A32" s="19" t="s">
        <v>33</v>
      </c>
      <c r="B32" s="20" t="n">
        <v>5</v>
      </c>
      <c r="C32" s="19" t="s">
        <v>34</v>
      </c>
    </row>
    <row r="33" customFormat="false" ht="15" hidden="false" customHeight="true" outlineLevel="0" collapsed="false">
      <c r="A33" s="19"/>
      <c r="B33" s="20"/>
      <c r="C33" s="19"/>
    </row>
    <row r="34" customFormat="false" ht="15" hidden="false" customHeight="true" outlineLevel="0" collapsed="false">
      <c r="A34" s="19"/>
      <c r="B34" s="20"/>
      <c r="C34" s="19"/>
    </row>
    <row r="37" customFormat="false" ht="21.75" hidden="false" customHeight="true" outlineLevel="0" collapsed="false">
      <c r="A37" s="16" t="s">
        <v>35</v>
      </c>
      <c r="B37" s="16"/>
      <c r="C37" s="16"/>
      <c r="D37" s="16"/>
      <c r="E37" s="16"/>
      <c r="F37" s="16"/>
      <c r="G37" s="16"/>
      <c r="H37" s="16"/>
      <c r="I37" s="16"/>
    </row>
    <row r="39" customFormat="false" ht="15" hidden="false" customHeight="true" outlineLevel="0" collapsed="false">
      <c r="A39" s="18" t="s">
        <v>36</v>
      </c>
      <c r="B39" s="18" t="s">
        <v>37</v>
      </c>
    </row>
    <row r="40" customFormat="false" ht="15" hidden="false" customHeight="true" outlineLevel="0" collapsed="false">
      <c r="A40" s="19" t="s">
        <v>38</v>
      </c>
      <c r="B40" s="20" t="n">
        <v>0</v>
      </c>
    </row>
    <row r="41" customFormat="false" ht="15" hidden="false" customHeight="true" outlineLevel="0" collapsed="false">
      <c r="A41" s="19" t="s">
        <v>39</v>
      </c>
      <c r="B41" s="20" t="n">
        <v>0.71</v>
      </c>
    </row>
    <row r="42" customFormat="false" ht="15" hidden="false" customHeight="true" outlineLevel="0" collapsed="false">
      <c r="A42" s="19" t="s">
        <v>40</v>
      </c>
      <c r="B42" s="20" t="n">
        <v>1.15</v>
      </c>
    </row>
    <row r="45" customFormat="false" ht="21.75" hidden="false" customHeight="true" outlineLevel="0" collapsed="false">
      <c r="A45" s="16" t="s">
        <v>41</v>
      </c>
      <c r="B45" s="16"/>
      <c r="C45" s="16"/>
      <c r="D45" s="16"/>
      <c r="E45" s="16"/>
      <c r="F45" s="16"/>
      <c r="G45" s="16"/>
      <c r="H45" s="16"/>
      <c r="I45" s="16"/>
    </row>
    <row r="47" customFormat="false" ht="15" hidden="false" customHeight="true" outlineLevel="0" collapsed="false">
      <c r="A47" s="18" t="s">
        <v>42</v>
      </c>
      <c r="B47" s="18" t="s">
        <v>37</v>
      </c>
    </row>
    <row r="48" customFormat="false" ht="15" hidden="false" customHeight="true" outlineLevel="0" collapsed="false">
      <c r="A48" s="19" t="s">
        <v>38</v>
      </c>
      <c r="B48" s="20" t="n">
        <v>0</v>
      </c>
    </row>
    <row r="49" customFormat="false" ht="15" hidden="false" customHeight="true" outlineLevel="0" collapsed="false">
      <c r="A49" s="19" t="s">
        <v>43</v>
      </c>
      <c r="B49" s="20" t="n">
        <v>0.14</v>
      </c>
    </row>
    <row r="50" customFormat="false" ht="15" hidden="false" customHeight="true" outlineLevel="0" collapsed="false">
      <c r="A50" s="19" t="s">
        <v>44</v>
      </c>
      <c r="B50" s="20" t="n">
        <v>0.77</v>
      </c>
    </row>
    <row r="53" customFormat="false" ht="21.75" hidden="false" customHeight="true" outlineLevel="0" collapsed="false">
      <c r="A53" s="16" t="s">
        <v>45</v>
      </c>
      <c r="B53" s="16"/>
      <c r="C53" s="16"/>
      <c r="D53" s="16"/>
      <c r="E53" s="16"/>
      <c r="F53" s="16"/>
      <c r="G53" s="16"/>
      <c r="H53" s="16"/>
      <c r="I53" s="16"/>
    </row>
    <row r="55" customFormat="false" ht="15" hidden="false" customHeight="true" outlineLevel="0" collapsed="false">
      <c r="A55" s="18" t="s">
        <v>46</v>
      </c>
      <c r="B55" s="18" t="s">
        <v>37</v>
      </c>
    </row>
    <row r="56" customFormat="false" ht="15" hidden="false" customHeight="true" outlineLevel="0" collapsed="false">
      <c r="A56" s="19" t="s">
        <v>38</v>
      </c>
      <c r="B56" s="20" t="n">
        <v>0</v>
      </c>
    </row>
    <row r="57" customFormat="false" ht="15" hidden="false" customHeight="true" outlineLevel="0" collapsed="false">
      <c r="A57" s="19" t="s">
        <v>47</v>
      </c>
      <c r="B57" s="20" t="n">
        <v>4.33</v>
      </c>
    </row>
    <row r="58" customFormat="false" ht="15" hidden="false" customHeight="true" outlineLevel="0" collapsed="false">
      <c r="A58" s="19" t="s">
        <v>48</v>
      </c>
      <c r="B58" s="20" t="n">
        <v>3.33</v>
      </c>
    </row>
    <row r="59" customFormat="false" ht="15" hidden="false" customHeight="true" outlineLevel="0" collapsed="false">
      <c r="A59" s="19" t="s">
        <v>49</v>
      </c>
      <c r="B59" s="20" t="n">
        <v>3.67</v>
      </c>
    </row>
    <row r="60" customFormat="false" ht="15" hidden="false" customHeight="true" outlineLevel="0" collapsed="false">
      <c r="A60" s="19" t="s">
        <v>50</v>
      </c>
      <c r="B60" s="20" t="n">
        <v>3.14</v>
      </c>
    </row>
    <row r="61" customFormat="false" ht="15" hidden="false" customHeight="true" outlineLevel="0" collapsed="false">
      <c r="A61" s="19" t="s">
        <v>51</v>
      </c>
      <c r="B61" s="20" t="n">
        <v>3.67</v>
      </c>
    </row>
    <row r="64" customFormat="false" ht="21.75" hidden="false" customHeight="true" outlineLevel="0" collapsed="false">
      <c r="A64" s="16" t="s">
        <v>52</v>
      </c>
      <c r="B64" s="16"/>
      <c r="C64" s="16"/>
      <c r="D64" s="16"/>
      <c r="E64" s="16"/>
      <c r="F64" s="16"/>
      <c r="G64" s="16"/>
      <c r="H64" s="16"/>
      <c r="I64" s="16"/>
    </row>
    <row r="65" customFormat="false" ht="15" hidden="false" customHeight="true" outlineLevel="0" collapsed="false">
      <c r="A65" s="17" t="s">
        <v>53</v>
      </c>
      <c r="B65" s="17"/>
      <c r="C65" s="17"/>
      <c r="D65" s="17"/>
      <c r="E65" s="17"/>
      <c r="F65" s="17"/>
      <c r="G65" s="17"/>
      <c r="H65" s="17"/>
      <c r="I65" s="17"/>
    </row>
    <row r="67" customFormat="false" ht="15" hidden="false" customHeight="true" outlineLevel="0" collapsed="false">
      <c r="A67" s="21" t="s">
        <v>54</v>
      </c>
      <c r="B67" s="19"/>
    </row>
    <row r="68" customFormat="false" ht="15" hidden="false" customHeight="true" outlineLevel="0" collapsed="false">
      <c r="A68" s="21" t="s">
        <v>55</v>
      </c>
      <c r="B68" s="19" t="s">
        <v>38</v>
      </c>
    </row>
    <row r="69" customFormat="false" ht="15" hidden="false" customHeight="true" outlineLevel="0" collapsed="false">
      <c r="A69" s="21" t="s">
        <v>56</v>
      </c>
      <c r="B69" s="19" t="s">
        <v>38</v>
      </c>
    </row>
    <row r="70" customFormat="false" ht="15" hidden="false" customHeight="true" outlineLevel="0" collapsed="false">
      <c r="A70" s="21" t="s">
        <v>57</v>
      </c>
      <c r="B70" s="19" t="s">
        <v>38</v>
      </c>
    </row>
    <row r="71" customFormat="false" ht="15" hidden="false" customHeight="true" outlineLevel="0" collapsed="false">
      <c r="A71" s="21" t="s">
        <v>58</v>
      </c>
      <c r="B71" s="22" t="n">
        <v>100</v>
      </c>
    </row>
    <row r="73" customFormat="false" ht="15" hidden="false" customHeight="true" outlineLevel="0" collapsed="false">
      <c r="A73" s="21" t="s">
        <v>59</v>
      </c>
      <c r="B73" s="23" t="n">
        <f aca="false">$B$5</f>
        <v>9.5</v>
      </c>
    </row>
    <row r="74" customFormat="false" ht="15" hidden="false" customHeight="true" outlineLevel="0" collapsed="false">
      <c r="A74" s="21" t="s">
        <v>60</v>
      </c>
      <c r="B74" s="23" t="n">
        <f aca="false">IFERROR(VLOOKUP(B67,A28:B34,2,FALSE()),0)</f>
        <v>0</v>
      </c>
    </row>
    <row r="75" customFormat="false" ht="15" hidden="false" customHeight="true" outlineLevel="0" collapsed="false">
      <c r="A75" s="21" t="s">
        <v>61</v>
      </c>
      <c r="B75" s="23" t="n">
        <f aca="false">IFERROR(VLOOKUP(B68,A40:B42,2,FALSE()),0)</f>
        <v>0</v>
      </c>
    </row>
    <row r="76" customFormat="false" ht="15" hidden="false" customHeight="true" outlineLevel="0" collapsed="false">
      <c r="A76" s="21" t="s">
        <v>62</v>
      </c>
      <c r="B76" s="23" t="n">
        <f aca="false">IFERROR(VLOOKUP(B69,A48:B50,2,FALSE()),0)</f>
        <v>0</v>
      </c>
    </row>
    <row r="77" customFormat="false" ht="15" hidden="false" customHeight="true" outlineLevel="0" collapsed="false">
      <c r="A77" s="21" t="s">
        <v>63</v>
      </c>
      <c r="B77" s="23" t="n">
        <f aca="false">IFERROR(VLOOKUP(B70,A56:B61,2,FALSE()),0)</f>
        <v>0</v>
      </c>
    </row>
    <row r="78" customFormat="false" ht="15" hidden="false" customHeight="true" outlineLevel="0" collapsed="false">
      <c r="A78" s="21" t="s">
        <v>64</v>
      </c>
      <c r="B78" s="23" t="n">
        <f aca="false">$B$5+IFERROR(VLOOKUP(B67,A28:B34,2,FALSE()),0)+IFERROR(VLOOKUP(B68,A40:B42,2,FALSE()),0)+IFERROR(VLOOKUP(B69,A48:B50,2,FALSE()),0)+IFERROR(VLOOKUP(B70,A56:B61,2,FALSE()),0)</f>
        <v>9.5</v>
      </c>
    </row>
    <row r="79" customFormat="false" ht="15" hidden="false" customHeight="true" outlineLevel="0" collapsed="false">
      <c r="A79" s="21" t="s">
        <v>65</v>
      </c>
      <c r="B79" s="24" t="n">
        <f aca="false">LOOKUP(B71,A8:A20,B8:B20)</f>
        <v>0.552</v>
      </c>
    </row>
    <row r="80" customFormat="false" ht="15" hidden="false" customHeight="true" outlineLevel="0" collapsed="false">
      <c r="A80" s="21" t="s">
        <v>66</v>
      </c>
      <c r="B80" s="25" t="n">
        <f aca="false">($B$5+IFERROR(VLOOKUP(B67,A28:B34,2,FALSE()),0)+IFERROR(VLOOKUP(B68,A40:B42,2,FALSE()),0)+IFERROR(VLOOKUP(B69,A48:B50,2,FALSE()),0)+IFERROR(VLOOKUP(B70,A56:B61,2,FALSE()),0))*(1-LOOKUP(B71,A8:A20,B8:B20))</f>
        <v>4.256</v>
      </c>
    </row>
    <row r="81" customFormat="false" ht="15" hidden="false" customHeight="true" outlineLevel="0" collapsed="false">
      <c r="A81" s="21" t="s">
        <v>67</v>
      </c>
      <c r="B81" s="25" t="n">
        <f aca="false">B71*($B$5+IFERROR(VLOOKUP(B67,A28:B34,2,FALSE()),0)+IFERROR(VLOOKUP(B68,A40:B42,2,FALSE()),0)+IFERROR(VLOOKUP(B69,A48:B50,2,FALSE()),0)+IFERROR(VLOOKUP(B70,A56:B61,2,FALSE()),0))*(1-LOOKUP(B71,A8:A20,B8:B20))</f>
        <v>425.6</v>
      </c>
    </row>
    <row r="84" customFormat="false" ht="21.75" hidden="false" customHeight="true" outlineLevel="0" collapsed="false">
      <c r="A84" s="16" t="s">
        <v>68</v>
      </c>
      <c r="B84" s="16"/>
      <c r="C84" s="16"/>
      <c r="D84" s="16"/>
      <c r="E84" s="16"/>
      <c r="F84" s="16"/>
      <c r="G84" s="16"/>
      <c r="H84" s="16"/>
      <c r="I84" s="16"/>
    </row>
    <row r="86" customFormat="false" ht="15" hidden="false" customHeight="true" outlineLevel="0" collapsed="false">
      <c r="A86" s="26" t="s">
        <v>69</v>
      </c>
      <c r="B86" s="26"/>
      <c r="D86" s="26" t="s">
        <v>70</v>
      </c>
      <c r="E86" s="26"/>
      <c r="G86" s="26" t="s">
        <v>71</v>
      </c>
      <c r="H86" s="26"/>
    </row>
    <row r="87" customFormat="false" ht="21.75" hidden="false" customHeight="true" outlineLevel="0" collapsed="false">
      <c r="A87" s="17" t="s">
        <v>72</v>
      </c>
      <c r="B87" s="17"/>
      <c r="D87" s="17" t="s">
        <v>73</v>
      </c>
      <c r="E87" s="17"/>
      <c r="G87" s="17" t="s">
        <v>73</v>
      </c>
      <c r="H87" s="17"/>
    </row>
    <row r="89" customFormat="false" ht="15" hidden="false" customHeight="true" outlineLevel="0" collapsed="false">
      <c r="A89" s="18" t="s">
        <v>74</v>
      </c>
      <c r="B89" s="18" t="s">
        <v>23</v>
      </c>
      <c r="D89" s="18" t="s">
        <v>74</v>
      </c>
      <c r="E89" s="18" t="s">
        <v>23</v>
      </c>
      <c r="G89" s="18" t="s">
        <v>74</v>
      </c>
      <c r="H89" s="18" t="s">
        <v>23</v>
      </c>
    </row>
    <row r="90" customFormat="false" ht="15" hidden="false" customHeight="true" outlineLevel="0" collapsed="false">
      <c r="A90" s="22" t="n">
        <v>30</v>
      </c>
      <c r="B90" s="20" t="n">
        <v>0</v>
      </c>
      <c r="D90" s="22" t="n">
        <v>30</v>
      </c>
      <c r="E90" s="20" t="n">
        <v>0</v>
      </c>
      <c r="G90" s="22" t="n">
        <v>30</v>
      </c>
      <c r="H90" s="20" t="n">
        <v>0</v>
      </c>
    </row>
    <row r="91" customFormat="false" ht="15" hidden="false" customHeight="true" outlineLevel="0" collapsed="false">
      <c r="A91" s="22" t="n">
        <v>32</v>
      </c>
      <c r="B91" s="20" t="n">
        <v>0</v>
      </c>
      <c r="D91" s="22" t="n">
        <v>32</v>
      </c>
      <c r="E91" s="20" t="n">
        <v>0</v>
      </c>
      <c r="G91" s="22" t="n">
        <v>32</v>
      </c>
      <c r="H91" s="20" t="n">
        <v>0</v>
      </c>
    </row>
    <row r="92" customFormat="false" ht="15" hidden="false" customHeight="true" outlineLevel="0" collapsed="false">
      <c r="A92" s="22" t="n">
        <v>34</v>
      </c>
      <c r="B92" s="20" t="n">
        <v>0.17</v>
      </c>
      <c r="D92" s="22" t="n">
        <v>34</v>
      </c>
      <c r="E92" s="20" t="n">
        <v>0.18</v>
      </c>
      <c r="G92" s="22" t="n">
        <v>34</v>
      </c>
      <c r="H92" s="20" t="n">
        <v>0.18</v>
      </c>
    </row>
    <row r="93" customFormat="false" ht="15" hidden="false" customHeight="true" outlineLevel="0" collapsed="false">
      <c r="A93" s="22" t="n">
        <v>36</v>
      </c>
      <c r="B93" s="20" t="n">
        <v>0.17</v>
      </c>
      <c r="D93" s="22" t="n">
        <v>36</v>
      </c>
      <c r="E93" s="20" t="n">
        <v>0.18</v>
      </c>
      <c r="G93" s="22" t="n">
        <v>36</v>
      </c>
      <c r="H93" s="20" t="n">
        <v>0.18</v>
      </c>
    </row>
    <row r="94" customFormat="false" ht="15" hidden="false" customHeight="true" outlineLevel="0" collapsed="false">
      <c r="A94" s="22" t="n">
        <v>38</v>
      </c>
      <c r="B94" s="20" t="n">
        <v>0.34</v>
      </c>
      <c r="D94" s="22" t="n">
        <v>38</v>
      </c>
      <c r="E94" s="20" t="n">
        <v>0.36</v>
      </c>
      <c r="G94" s="22" t="n">
        <v>38</v>
      </c>
      <c r="H94" s="20" t="n">
        <v>0.36</v>
      </c>
    </row>
    <row r="95" customFormat="false" ht="15" hidden="false" customHeight="true" outlineLevel="0" collapsed="false">
      <c r="A95" s="22" t="n">
        <v>40</v>
      </c>
      <c r="B95" s="20" t="n">
        <v>0.34</v>
      </c>
      <c r="D95" s="22" t="n">
        <v>40</v>
      </c>
      <c r="E95" s="20" t="n">
        <v>0.36</v>
      </c>
      <c r="G95" s="22" t="n">
        <v>40</v>
      </c>
      <c r="H95" s="20" t="n">
        <v>0.36</v>
      </c>
    </row>
    <row r="96" customFormat="false" ht="15" hidden="false" customHeight="true" outlineLevel="0" collapsed="false">
      <c r="A96" s="22" t="n">
        <v>42</v>
      </c>
      <c r="B96" s="20" t="n">
        <v>0.51</v>
      </c>
      <c r="D96" s="22" t="n">
        <v>42</v>
      </c>
      <c r="E96" s="20" t="n">
        <v>0.54</v>
      </c>
      <c r="G96" s="22" t="n">
        <v>42</v>
      </c>
      <c r="H96" s="20" t="n">
        <v>0.54</v>
      </c>
    </row>
    <row r="97" customFormat="false" ht="15" hidden="false" customHeight="true" outlineLevel="0" collapsed="false">
      <c r="A97" s="22" t="n">
        <v>44</v>
      </c>
      <c r="B97" s="20" t="n">
        <v>0.51</v>
      </c>
      <c r="D97" s="22" t="n">
        <v>44</v>
      </c>
      <c r="E97" s="20" t="n">
        <v>0.54</v>
      </c>
      <c r="G97" s="22" t="n">
        <v>44</v>
      </c>
      <c r="H97" s="20" t="n">
        <v>0.54</v>
      </c>
    </row>
    <row r="98" customFormat="false" ht="15" hidden="false" customHeight="true" outlineLevel="0" collapsed="false">
      <c r="A98" s="22" t="n">
        <v>46</v>
      </c>
      <c r="B98" s="20" t="n">
        <v>0.68</v>
      </c>
      <c r="D98" s="22" t="n">
        <v>46</v>
      </c>
      <c r="E98" s="20" t="n">
        <v>0.72</v>
      </c>
      <c r="G98" s="22" t="n">
        <v>46</v>
      </c>
      <c r="H98" s="20" t="n">
        <v>0.72</v>
      </c>
    </row>
    <row r="99" customFormat="false" ht="15" hidden="false" customHeight="true" outlineLevel="0" collapsed="false">
      <c r="A99" s="22" t="n">
        <v>48</v>
      </c>
      <c r="B99" s="20" t="n">
        <v>0.68</v>
      </c>
      <c r="D99" s="22" t="n">
        <v>48</v>
      </c>
      <c r="E99" s="20" t="n">
        <v>0.72</v>
      </c>
      <c r="G99" s="22" t="n">
        <v>48</v>
      </c>
      <c r="H99" s="20" t="n">
        <v>0.72</v>
      </c>
    </row>
    <row r="100" customFormat="false" ht="15" hidden="false" customHeight="true" outlineLevel="0" collapsed="false">
      <c r="A100" s="22" t="n">
        <v>50</v>
      </c>
      <c r="B100" s="20" t="n">
        <v>0.85</v>
      </c>
      <c r="D100" s="22" t="n">
        <v>50</v>
      </c>
      <c r="E100" s="20" t="n">
        <v>0.9</v>
      </c>
      <c r="G100" s="22" t="n">
        <v>50</v>
      </c>
      <c r="H100" s="20" t="n">
        <v>0.9</v>
      </c>
    </row>
    <row r="101" customFormat="false" ht="15" hidden="false" customHeight="true" outlineLevel="0" collapsed="false">
      <c r="A101" s="22" t="n">
        <v>52</v>
      </c>
      <c r="B101" s="20" t="n">
        <v>0.85</v>
      </c>
      <c r="D101" s="22" t="n">
        <v>52</v>
      </c>
      <c r="E101" s="20" t="n">
        <v>0.9</v>
      </c>
      <c r="G101" s="22" t="n">
        <v>52</v>
      </c>
      <c r="H101" s="20" t="n">
        <v>0.9</v>
      </c>
    </row>
    <row r="102" customFormat="false" ht="15" hidden="false" customHeight="true" outlineLevel="0" collapsed="false">
      <c r="A102" s="22" t="n">
        <v>54</v>
      </c>
      <c r="B102" s="20" t="n">
        <v>1.02</v>
      </c>
      <c r="D102" s="22" t="n">
        <v>54</v>
      </c>
      <c r="E102" s="20" t="n">
        <v>1.08</v>
      </c>
      <c r="G102" s="22" t="n">
        <v>54</v>
      </c>
      <c r="H102" s="20" t="n">
        <v>1.08</v>
      </c>
    </row>
    <row r="103" customFormat="false" ht="15" hidden="false" customHeight="true" outlineLevel="0" collapsed="false">
      <c r="A103" s="22" t="n">
        <v>56</v>
      </c>
      <c r="B103" s="20" t="n">
        <v>1.02</v>
      </c>
      <c r="D103" s="22" t="n">
        <v>56</v>
      </c>
      <c r="E103" s="20" t="n">
        <v>1.08</v>
      </c>
      <c r="G103" s="22" t="n">
        <v>56</v>
      </c>
      <c r="H103" s="20" t="n">
        <v>1.08</v>
      </c>
    </row>
    <row r="104" customFormat="false" ht="21.75" hidden="false" customHeight="true" outlineLevel="0" collapsed="false">
      <c r="A104" s="22" t="n">
        <v>58</v>
      </c>
      <c r="B104" s="20" t="n">
        <v>1.19</v>
      </c>
      <c r="D104" s="22" t="n">
        <v>58</v>
      </c>
      <c r="E104" s="20" t="n">
        <v>1.26</v>
      </c>
      <c r="G104" s="22" t="n">
        <v>58</v>
      </c>
      <c r="H104" s="20" t="n">
        <v>1.26</v>
      </c>
    </row>
    <row r="105" customFormat="false" ht="15" hidden="false" customHeight="true" outlineLevel="0" collapsed="false">
      <c r="A105" s="22" t="n">
        <v>60</v>
      </c>
      <c r="B105" s="20" t="n">
        <v>1.19</v>
      </c>
      <c r="D105" s="22" t="n">
        <v>60</v>
      </c>
      <c r="E105" s="20" t="n">
        <v>1.26</v>
      </c>
      <c r="G105" s="22" t="n">
        <v>60</v>
      </c>
      <c r="H105" s="20" t="n">
        <v>1.26</v>
      </c>
    </row>
    <row r="106" customFormat="false" ht="15" hidden="false" customHeight="true" outlineLevel="0" collapsed="false">
      <c r="A106" s="22" t="n">
        <v>62</v>
      </c>
      <c r="B106" s="20" t="n">
        <v>1.36</v>
      </c>
      <c r="D106" s="22" t="n">
        <v>62</v>
      </c>
      <c r="E106" s="20" t="n">
        <v>1.44</v>
      </c>
      <c r="G106" s="22" t="n">
        <v>62</v>
      </c>
      <c r="H106" s="20" t="n">
        <v>1.44</v>
      </c>
    </row>
    <row r="107" customFormat="false" ht="21.75" hidden="false" customHeight="true" outlineLevel="0" collapsed="false">
      <c r="A107" s="22" t="n">
        <v>64</v>
      </c>
      <c r="B107" s="20" t="n">
        <v>1.36</v>
      </c>
      <c r="D107" s="22" t="n">
        <v>64</v>
      </c>
      <c r="E107" s="20" t="n">
        <v>1.44</v>
      </c>
      <c r="G107" s="22" t="n">
        <v>64</v>
      </c>
      <c r="H107" s="20" t="n">
        <v>1.44</v>
      </c>
    </row>
    <row r="108" customFormat="false" ht="15" hidden="false" customHeight="true" outlineLevel="0" collapsed="false">
      <c r="A108" s="22" t="n">
        <v>66</v>
      </c>
      <c r="B108" s="20" t="n">
        <v>1.53</v>
      </c>
      <c r="D108" s="22" t="n">
        <v>66</v>
      </c>
      <c r="E108" s="20" t="n">
        <v>1.62</v>
      </c>
      <c r="G108" s="22" t="n">
        <v>66</v>
      </c>
      <c r="H108" s="20" t="n">
        <v>1.62</v>
      </c>
    </row>
    <row r="109" customFormat="false" ht="15" hidden="false" customHeight="true" outlineLevel="0" collapsed="false">
      <c r="A109" s="22" t="n">
        <v>68</v>
      </c>
      <c r="B109" s="20" t="n">
        <v>1.53</v>
      </c>
      <c r="D109" s="22" t="n">
        <v>68</v>
      </c>
      <c r="E109" s="20" t="n">
        <v>1.62</v>
      </c>
      <c r="G109" s="22" t="n">
        <v>68</v>
      </c>
      <c r="H109" s="20" t="n">
        <v>1.62</v>
      </c>
    </row>
    <row r="110" customFormat="false" ht="15" hidden="false" customHeight="true" outlineLevel="0" collapsed="false">
      <c r="A110" s="22" t="n">
        <v>70</v>
      </c>
      <c r="B110" s="20" t="n">
        <v>1.7</v>
      </c>
      <c r="D110" s="22" t="n">
        <v>70</v>
      </c>
      <c r="E110" s="20" t="n">
        <v>1.8</v>
      </c>
      <c r="G110" s="22" t="n">
        <v>70</v>
      </c>
      <c r="H110" s="20" t="n">
        <v>1.8</v>
      </c>
    </row>
    <row r="111" customFormat="false" ht="15" hidden="false" customHeight="true" outlineLevel="0" collapsed="false">
      <c r="A111" s="22" t="n">
        <v>72</v>
      </c>
      <c r="B111" s="20" t="n">
        <v>1.7</v>
      </c>
      <c r="D111" s="22" t="n">
        <v>72</v>
      </c>
      <c r="E111" s="20" t="n">
        <v>1.8</v>
      </c>
      <c r="G111" s="22" t="n">
        <v>72</v>
      </c>
      <c r="H111" s="20" t="n">
        <v>1.8</v>
      </c>
    </row>
    <row r="112" customFormat="false" ht="15" hidden="false" customHeight="true" outlineLevel="0" collapsed="false">
      <c r="A112" s="22" t="n">
        <v>74</v>
      </c>
      <c r="B112" s="20" t="n">
        <v>1.87</v>
      </c>
      <c r="D112" s="22" t="n">
        <v>74</v>
      </c>
      <c r="E112" s="20" t="n">
        <v>1.98</v>
      </c>
      <c r="G112" s="22" t="n">
        <v>74</v>
      </c>
      <c r="H112" s="20" t="n">
        <v>1.98</v>
      </c>
    </row>
    <row r="113" customFormat="false" ht="15" hidden="false" customHeight="true" outlineLevel="0" collapsed="false">
      <c r="A113" s="22" t="n">
        <v>76</v>
      </c>
      <c r="B113" s="20" t="n">
        <v>1.87</v>
      </c>
      <c r="D113" s="22" t="n">
        <v>76</v>
      </c>
      <c r="E113" s="20" t="n">
        <v>1.98</v>
      </c>
      <c r="G113" s="22" t="n">
        <v>76</v>
      </c>
      <c r="H113" s="20" t="n">
        <v>1.98</v>
      </c>
    </row>
    <row r="114" customFormat="false" ht="15" hidden="false" customHeight="true" outlineLevel="0" collapsed="false">
      <c r="A114" s="22" t="n">
        <v>78</v>
      </c>
      <c r="B114" s="20" t="n">
        <v>2.04</v>
      </c>
      <c r="D114" s="22" t="n">
        <v>78</v>
      </c>
      <c r="E114" s="20" t="n">
        <v>2.16</v>
      </c>
      <c r="G114" s="22" t="n">
        <v>78</v>
      </c>
      <c r="H114" s="20" t="n">
        <v>2.16</v>
      </c>
    </row>
    <row r="115" customFormat="false" ht="15" hidden="false" customHeight="true" outlineLevel="0" collapsed="false">
      <c r="A115" s="22" t="n">
        <v>80</v>
      </c>
      <c r="B115" s="20" t="n">
        <v>2.04</v>
      </c>
      <c r="D115" s="22" t="n">
        <v>80</v>
      </c>
      <c r="E115" s="20" t="n">
        <v>2.16</v>
      </c>
      <c r="G115" s="22" t="n">
        <v>80</v>
      </c>
      <c r="H115" s="20" t="n">
        <v>2.16</v>
      </c>
    </row>
    <row r="116" customFormat="false" ht="15" hidden="false" customHeight="true" outlineLevel="0" collapsed="false">
      <c r="A116" s="22" t="n">
        <v>82</v>
      </c>
      <c r="B116" s="20" t="n">
        <v>2.21</v>
      </c>
      <c r="D116" s="22" t="n">
        <v>82</v>
      </c>
      <c r="E116" s="20" t="n">
        <v>2.34</v>
      </c>
      <c r="G116" s="22" t="n">
        <v>82</v>
      </c>
      <c r="H116" s="20" t="n">
        <v>2.34</v>
      </c>
    </row>
    <row r="117" customFormat="false" ht="15" hidden="false" customHeight="true" outlineLevel="0" collapsed="false">
      <c r="A117" s="22" t="n">
        <v>84</v>
      </c>
      <c r="B117" s="20" t="n">
        <v>2.21</v>
      </c>
      <c r="D117" s="22" t="n">
        <v>84</v>
      </c>
      <c r="E117" s="20" t="n">
        <v>2.34</v>
      </c>
      <c r="G117" s="22" t="n">
        <v>84</v>
      </c>
      <c r="H117" s="20" t="n">
        <v>2.34</v>
      </c>
    </row>
    <row r="118" customFormat="false" ht="15" hidden="false" customHeight="true" outlineLevel="0" collapsed="false">
      <c r="A118" s="22" t="n">
        <v>86</v>
      </c>
      <c r="B118" s="20" t="n">
        <v>2.38</v>
      </c>
      <c r="D118" s="22" t="n">
        <v>86</v>
      </c>
      <c r="E118" s="20" t="n">
        <v>2.52</v>
      </c>
      <c r="G118" s="22" t="n">
        <v>86</v>
      </c>
      <c r="H118" s="20" t="n">
        <v>2.52</v>
      </c>
    </row>
    <row r="119" customFormat="false" ht="15" hidden="false" customHeight="true" outlineLevel="0" collapsed="false">
      <c r="A119" s="22" t="n">
        <v>88</v>
      </c>
      <c r="B119" s="20" t="n">
        <v>2.38</v>
      </c>
      <c r="D119" s="22" t="n">
        <v>88</v>
      </c>
      <c r="E119" s="20" t="n">
        <v>2.52</v>
      </c>
      <c r="G119" s="22" t="n">
        <v>88</v>
      </c>
      <c r="H119" s="20" t="n">
        <v>2.52</v>
      </c>
    </row>
    <row r="120" customFormat="false" ht="15" hidden="false" customHeight="true" outlineLevel="0" collapsed="false">
      <c r="A120" s="22" t="n">
        <v>90</v>
      </c>
      <c r="B120" s="20" t="n">
        <v>2.55</v>
      </c>
      <c r="D120" s="22" t="n">
        <v>90</v>
      </c>
      <c r="E120" s="20" t="n">
        <v>2.7</v>
      </c>
      <c r="G120" s="22" t="n">
        <v>90</v>
      </c>
      <c r="H120" s="20" t="n">
        <v>2.7</v>
      </c>
    </row>
    <row r="121" customFormat="false" ht="15" hidden="false" customHeight="true" outlineLevel="0" collapsed="false">
      <c r="A121" s="22" t="n">
        <v>92</v>
      </c>
      <c r="B121" s="20" t="n">
        <v>2.55</v>
      </c>
      <c r="D121" s="22" t="n">
        <v>92</v>
      </c>
      <c r="E121" s="20" t="n">
        <v>2.7</v>
      </c>
      <c r="G121" s="22" t="n">
        <v>92</v>
      </c>
      <c r="H121" s="20" t="n">
        <v>2.7</v>
      </c>
    </row>
    <row r="122" customFormat="false" ht="15" hidden="false" customHeight="true" outlineLevel="0" collapsed="false">
      <c r="A122" s="22" t="n">
        <v>94</v>
      </c>
      <c r="B122" s="20" t="n">
        <v>2.72</v>
      </c>
      <c r="D122" s="22" t="n">
        <v>94</v>
      </c>
      <c r="E122" s="20" t="n">
        <v>2.88</v>
      </c>
      <c r="G122" s="22" t="n">
        <v>94</v>
      </c>
      <c r="H122" s="20" t="n">
        <v>2.88</v>
      </c>
    </row>
    <row r="123" customFormat="false" ht="15" hidden="false" customHeight="true" outlineLevel="0" collapsed="false">
      <c r="A123" s="22" t="n">
        <v>96</v>
      </c>
      <c r="B123" s="20" t="n">
        <v>2.72</v>
      </c>
      <c r="D123" s="22" t="n">
        <v>96</v>
      </c>
      <c r="E123" s="20" t="n">
        <v>2.88</v>
      </c>
      <c r="G123" s="22" t="n">
        <v>96</v>
      </c>
      <c r="H123" s="20" t="n">
        <v>2.88</v>
      </c>
    </row>
    <row r="124" customFormat="false" ht="15" hidden="false" customHeight="true" outlineLevel="0" collapsed="false">
      <c r="A124" s="22" t="n">
        <v>98</v>
      </c>
      <c r="B124" s="20" t="n">
        <v>2.89</v>
      </c>
      <c r="D124" s="22" t="n">
        <v>98</v>
      </c>
      <c r="E124" s="20" t="n">
        <v>3.06</v>
      </c>
      <c r="G124" s="22" t="n">
        <v>98</v>
      </c>
      <c r="H124" s="20" t="n">
        <v>3.06</v>
      </c>
    </row>
    <row r="125" customFormat="false" ht="15" hidden="false" customHeight="true" outlineLevel="0" collapsed="false">
      <c r="A125" s="22" t="n">
        <v>100</v>
      </c>
      <c r="B125" s="20" t="n">
        <v>2.89</v>
      </c>
      <c r="D125" s="22" t="n">
        <v>100</v>
      </c>
      <c r="E125" s="20" t="n">
        <v>3.06</v>
      </c>
      <c r="G125" s="22" t="n">
        <v>100</v>
      </c>
      <c r="H125" s="20" t="n">
        <v>3.06</v>
      </c>
    </row>
    <row r="126" customFormat="false" ht="15" hidden="false" customHeight="true" outlineLevel="0" collapsed="false">
      <c r="A126" s="22" t="n">
        <v>102</v>
      </c>
      <c r="B126" s="20" t="n">
        <v>3.06</v>
      </c>
      <c r="D126" s="22" t="n">
        <v>102</v>
      </c>
      <c r="E126" s="20" t="n">
        <v>3.24</v>
      </c>
      <c r="G126" s="22" t="n">
        <v>102</v>
      </c>
      <c r="H126" s="20" t="n">
        <v>3.24</v>
      </c>
    </row>
    <row r="127" customFormat="false" ht="15" hidden="false" customHeight="true" outlineLevel="0" collapsed="false">
      <c r="A127" s="22" t="n">
        <v>104</v>
      </c>
      <c r="B127" s="20" t="n">
        <v>3.06</v>
      </c>
      <c r="D127" s="22" t="n">
        <v>104</v>
      </c>
      <c r="E127" s="20" t="n">
        <v>3.24</v>
      </c>
      <c r="G127" s="22" t="n">
        <v>104</v>
      </c>
      <c r="H127" s="20" t="n">
        <v>3.24</v>
      </c>
    </row>
    <row r="128" customFormat="false" ht="15" hidden="false" customHeight="true" outlineLevel="0" collapsed="false">
      <c r="A128" s="22" t="n">
        <v>106</v>
      </c>
      <c r="B128" s="20" t="n">
        <v>3.23</v>
      </c>
      <c r="D128" s="22" t="n">
        <v>106</v>
      </c>
      <c r="E128" s="20" t="n">
        <v>3.42</v>
      </c>
      <c r="G128" s="22" t="n">
        <v>106</v>
      </c>
      <c r="H128" s="20" t="n">
        <v>3.42</v>
      </c>
    </row>
    <row r="129" customFormat="false" ht="15" hidden="false" customHeight="true" outlineLevel="0" collapsed="false">
      <c r="A129" s="22" t="n">
        <v>108</v>
      </c>
      <c r="B129" s="20" t="n">
        <v>3.23</v>
      </c>
      <c r="D129" s="22" t="n">
        <v>108</v>
      </c>
      <c r="E129" s="20" t="n">
        <v>3.42</v>
      </c>
      <c r="G129" s="22" t="n">
        <v>108</v>
      </c>
      <c r="H129" s="20" t="n">
        <v>3.42</v>
      </c>
    </row>
    <row r="130" customFormat="false" ht="15" hidden="false" customHeight="true" outlineLevel="0" collapsed="false">
      <c r="A130" s="22" t="n">
        <v>110</v>
      </c>
      <c r="B130" s="20" t="n">
        <v>3.4</v>
      </c>
      <c r="D130" s="22" t="n">
        <v>110</v>
      </c>
      <c r="E130" s="20" t="n">
        <v>3.6</v>
      </c>
      <c r="G130" s="22" t="n">
        <v>110</v>
      </c>
      <c r="H130" s="20" t="n">
        <v>3.6</v>
      </c>
    </row>
    <row r="131" customFormat="false" ht="15" hidden="false" customHeight="true" outlineLevel="0" collapsed="false">
      <c r="A131" s="22" t="n">
        <v>112</v>
      </c>
      <c r="B131" s="20" t="n">
        <v>3.4</v>
      </c>
      <c r="D131" s="22" t="n">
        <v>112</v>
      </c>
      <c r="E131" s="20" t="n">
        <v>3.6</v>
      </c>
      <c r="G131" s="22" t="n">
        <v>112</v>
      </c>
      <c r="H131" s="20" t="n">
        <v>3.6</v>
      </c>
    </row>
    <row r="132" customFormat="false" ht="15" hidden="false" customHeight="true" outlineLevel="0" collapsed="false">
      <c r="A132" s="22" t="n">
        <v>114</v>
      </c>
      <c r="B132" s="20" t="n">
        <v>3.57</v>
      </c>
      <c r="D132" s="22" t="n">
        <v>114</v>
      </c>
      <c r="E132" s="20" t="n">
        <v>3.78</v>
      </c>
      <c r="G132" s="22" t="n">
        <v>114</v>
      </c>
      <c r="H132" s="20" t="n">
        <v>3.78</v>
      </c>
    </row>
    <row r="133" customFormat="false" ht="15" hidden="false" customHeight="true" outlineLevel="0" collapsed="false">
      <c r="A133" s="22" t="n">
        <v>116</v>
      </c>
      <c r="B133" s="20" t="n">
        <v>3.57</v>
      </c>
      <c r="D133" s="22" t="n">
        <v>116</v>
      </c>
      <c r="E133" s="20" t="n">
        <v>3.78</v>
      </c>
      <c r="G133" s="22" t="n">
        <v>116</v>
      </c>
      <c r="H133" s="20" t="n">
        <v>3.78</v>
      </c>
    </row>
    <row r="134" customFormat="false" ht="15" hidden="false" customHeight="true" outlineLevel="0" collapsed="false">
      <c r="A134" s="22" t="n">
        <v>118</v>
      </c>
      <c r="B134" s="20" t="n">
        <v>3.74</v>
      </c>
      <c r="D134" s="22" t="n">
        <v>118</v>
      </c>
      <c r="E134" s="20" t="n">
        <v>3.96</v>
      </c>
      <c r="G134" s="22" t="n">
        <v>118</v>
      </c>
      <c r="H134" s="20" t="n">
        <v>3.96</v>
      </c>
    </row>
    <row r="135" customFormat="false" ht="15" hidden="false" customHeight="true" outlineLevel="0" collapsed="false">
      <c r="A135" s="22" t="n">
        <v>120</v>
      </c>
      <c r="B135" s="20" t="n">
        <v>3.74</v>
      </c>
      <c r="D135" s="22" t="n">
        <v>120</v>
      </c>
      <c r="E135" s="20" t="n">
        <v>3.96</v>
      </c>
      <c r="G135" s="22" t="n">
        <v>120</v>
      </c>
      <c r="H135" s="20" t="n">
        <v>3.96</v>
      </c>
    </row>
    <row r="136" customFormat="false" ht="15" hidden="false" customHeight="true" outlineLevel="0" collapsed="false">
      <c r="A136" s="22" t="n">
        <v>122</v>
      </c>
      <c r="B136" s="20" t="n">
        <v>3.91</v>
      </c>
      <c r="D136" s="22" t="n">
        <v>122</v>
      </c>
      <c r="E136" s="20" t="n">
        <v>4.14</v>
      </c>
      <c r="G136" s="22" t="n">
        <v>122</v>
      </c>
      <c r="H136" s="20" t="n">
        <v>4.14</v>
      </c>
    </row>
    <row r="137" customFormat="false" ht="15" hidden="false" customHeight="true" outlineLevel="0" collapsed="false">
      <c r="A137" s="22" t="n">
        <v>124</v>
      </c>
      <c r="B137" s="20" t="n">
        <v>3.91</v>
      </c>
      <c r="D137" s="22" t="n">
        <v>124</v>
      </c>
      <c r="E137" s="20" t="n">
        <v>4.14</v>
      </c>
      <c r="G137" s="22" t="n">
        <v>124</v>
      </c>
      <c r="H137" s="20" t="n">
        <v>4.14</v>
      </c>
    </row>
    <row r="138" customFormat="false" ht="15" hidden="false" customHeight="true" outlineLevel="0" collapsed="false">
      <c r="A138" s="22" t="n">
        <v>126</v>
      </c>
      <c r="B138" s="20" t="n">
        <v>4.08</v>
      </c>
      <c r="D138" s="22" t="n">
        <v>126</v>
      </c>
      <c r="E138" s="20" t="n">
        <v>4.32</v>
      </c>
      <c r="G138" s="22" t="n">
        <v>126</v>
      </c>
      <c r="H138" s="20" t="n">
        <v>4.32</v>
      </c>
    </row>
    <row r="139" customFormat="false" ht="15" hidden="false" customHeight="true" outlineLevel="0" collapsed="false">
      <c r="A139" s="22" t="n">
        <v>128</v>
      </c>
      <c r="B139" s="20" t="n">
        <v>4.08</v>
      </c>
      <c r="D139" s="22" t="n">
        <v>128</v>
      </c>
      <c r="E139" s="20" t="n">
        <v>4.32</v>
      </c>
      <c r="G139" s="22" t="n">
        <v>128</v>
      </c>
      <c r="H139" s="20" t="n">
        <v>4.32</v>
      </c>
    </row>
    <row r="140" customFormat="false" ht="15" hidden="false" customHeight="true" outlineLevel="0" collapsed="false">
      <c r="A140" s="22" t="n">
        <v>130</v>
      </c>
      <c r="B140" s="20" t="n">
        <v>4.25</v>
      </c>
      <c r="D140" s="22" t="n">
        <v>130</v>
      </c>
      <c r="E140" s="20" t="n">
        <v>4.5</v>
      </c>
      <c r="G140" s="22" t="n">
        <v>130</v>
      </c>
      <c r="H140" s="20" t="n">
        <v>4.5</v>
      </c>
    </row>
    <row r="141" customFormat="false" ht="15" hidden="false" customHeight="true" outlineLevel="0" collapsed="false">
      <c r="A141" s="22" t="n">
        <v>132</v>
      </c>
      <c r="B141" s="20" t="n">
        <v>4.25</v>
      </c>
      <c r="D141" s="22" t="n">
        <v>132</v>
      </c>
      <c r="E141" s="20" t="n">
        <v>4.5</v>
      </c>
      <c r="G141" s="22" t="n">
        <v>132</v>
      </c>
      <c r="H141" s="20" t="n">
        <v>4.5</v>
      </c>
    </row>
    <row r="142" customFormat="false" ht="15" hidden="false" customHeight="true" outlineLevel="0" collapsed="false">
      <c r="A142" s="22" t="n">
        <v>134</v>
      </c>
      <c r="B142" s="20" t="n">
        <v>4.42</v>
      </c>
      <c r="D142" s="22" t="n">
        <v>134</v>
      </c>
      <c r="E142" s="20" t="n">
        <v>4.68</v>
      </c>
      <c r="G142" s="22" t="n">
        <v>134</v>
      </c>
      <c r="H142" s="20" t="n">
        <v>4.68</v>
      </c>
    </row>
    <row r="143" customFormat="false" ht="15" hidden="false" customHeight="true" outlineLevel="0" collapsed="false">
      <c r="A143" s="22" t="n">
        <v>136</v>
      </c>
      <c r="B143" s="20" t="n">
        <v>4.42</v>
      </c>
      <c r="D143" s="22" t="n">
        <v>136</v>
      </c>
      <c r="E143" s="20" t="n">
        <v>4.68</v>
      </c>
      <c r="G143" s="22" t="n">
        <v>136</v>
      </c>
      <c r="H143" s="20" t="n">
        <v>4.68</v>
      </c>
    </row>
    <row r="144" customFormat="false" ht="15" hidden="false" customHeight="true" outlineLevel="0" collapsed="false">
      <c r="A144" s="22" t="n">
        <v>138</v>
      </c>
      <c r="B144" s="20" t="n">
        <v>4.59</v>
      </c>
      <c r="D144" s="22" t="n">
        <v>138</v>
      </c>
      <c r="E144" s="20" t="n">
        <v>4.86</v>
      </c>
      <c r="G144" s="22" t="n">
        <v>138</v>
      </c>
      <c r="H144" s="20" t="n">
        <v>4.86</v>
      </c>
    </row>
    <row r="145" customFormat="false" ht="15" hidden="false" customHeight="true" outlineLevel="0" collapsed="false">
      <c r="A145" s="22" t="n">
        <v>140</v>
      </c>
      <c r="B145" s="20" t="n">
        <v>4.59</v>
      </c>
      <c r="D145" s="22" t="n">
        <v>140</v>
      </c>
      <c r="E145" s="20" t="n">
        <v>4.86</v>
      </c>
      <c r="G145" s="22" t="n">
        <v>140</v>
      </c>
      <c r="H145" s="20" t="n">
        <v>4.86</v>
      </c>
    </row>
    <row r="146" customFormat="false" ht="15" hidden="false" customHeight="true" outlineLevel="0" collapsed="false">
      <c r="A146" s="22" t="n">
        <v>142</v>
      </c>
      <c r="B146" s="20" t="n">
        <v>4.76</v>
      </c>
      <c r="D146" s="22" t="n">
        <v>142</v>
      </c>
      <c r="E146" s="20" t="n">
        <v>5.04</v>
      </c>
      <c r="G146" s="22" t="n">
        <v>142</v>
      </c>
      <c r="H146" s="20" t="n">
        <v>5.04</v>
      </c>
    </row>
    <row r="147" customFormat="false" ht="15" hidden="false" customHeight="true" outlineLevel="0" collapsed="false">
      <c r="A147" s="22" t="n">
        <v>144</v>
      </c>
      <c r="B147" s="20" t="n">
        <v>4.76</v>
      </c>
      <c r="D147" s="22" t="n">
        <v>144</v>
      </c>
      <c r="E147" s="20" t="n">
        <v>5.04</v>
      </c>
      <c r="G147" s="22" t="n">
        <v>144</v>
      </c>
      <c r="H147" s="20" t="n">
        <v>5.04</v>
      </c>
    </row>
    <row r="148" customFormat="false" ht="15" hidden="false" customHeight="true" outlineLevel="0" collapsed="false">
      <c r="A148" s="22" t="n">
        <v>146</v>
      </c>
      <c r="B148" s="20" t="n">
        <v>4.93</v>
      </c>
      <c r="D148" s="22" t="n">
        <v>146</v>
      </c>
      <c r="E148" s="20" t="n">
        <v>5.22</v>
      </c>
      <c r="G148" s="22" t="n">
        <v>146</v>
      </c>
      <c r="H148" s="20" t="n">
        <v>5.22</v>
      </c>
    </row>
    <row r="149" customFormat="false" ht="15" hidden="false" customHeight="true" outlineLevel="0" collapsed="false">
      <c r="A149" s="22" t="n">
        <v>148</v>
      </c>
      <c r="B149" s="20" t="n">
        <v>4.93</v>
      </c>
      <c r="D149" s="22" t="n">
        <v>148</v>
      </c>
      <c r="E149" s="20" t="n">
        <v>5.22</v>
      </c>
      <c r="G149" s="22" t="n">
        <v>148</v>
      </c>
      <c r="H149" s="20" t="n">
        <v>5.22</v>
      </c>
    </row>
    <row r="150" customFormat="false" ht="15" hidden="false" customHeight="true" outlineLevel="0" collapsed="false">
      <c r="A150" s="22" t="n">
        <v>150</v>
      </c>
      <c r="B150" s="20" t="n">
        <v>5.1</v>
      </c>
      <c r="D150" s="22" t="n">
        <v>150</v>
      </c>
      <c r="E150" s="20" t="n">
        <v>5.4</v>
      </c>
      <c r="G150" s="22" t="n">
        <v>150</v>
      </c>
      <c r="H150" s="20" t="n">
        <v>5.4</v>
      </c>
    </row>
    <row r="151" customFormat="false" ht="15" hidden="false" customHeight="true" outlineLevel="0" collapsed="false">
      <c r="A151" s="22" t="n">
        <v>152</v>
      </c>
      <c r="B151" s="20" t="n">
        <v>5.1</v>
      </c>
      <c r="D151" s="22" t="n">
        <v>152</v>
      </c>
      <c r="E151" s="20" t="n">
        <v>5.4</v>
      </c>
      <c r="G151" s="22" t="n">
        <v>152</v>
      </c>
      <c r="H151" s="20" t="n">
        <v>5.4</v>
      </c>
    </row>
    <row r="152" customFormat="false" ht="15" hidden="false" customHeight="true" outlineLevel="0" collapsed="false">
      <c r="A152" s="22" t="n">
        <v>154</v>
      </c>
      <c r="B152" s="20" t="n">
        <v>5.27</v>
      </c>
      <c r="D152" s="22" t="n">
        <v>154</v>
      </c>
      <c r="E152" s="20" t="n">
        <v>5.58</v>
      </c>
      <c r="G152" s="22" t="n">
        <v>154</v>
      </c>
      <c r="H152" s="20" t="n">
        <v>5.58</v>
      </c>
    </row>
    <row r="153" customFormat="false" ht="15" hidden="false" customHeight="true" outlineLevel="0" collapsed="false">
      <c r="A153" s="22" t="n">
        <v>156</v>
      </c>
      <c r="B153" s="20" t="n">
        <v>5.27</v>
      </c>
      <c r="D153" s="22" t="n">
        <v>156</v>
      </c>
      <c r="E153" s="20" t="n">
        <v>5.58</v>
      </c>
      <c r="G153" s="22" t="n">
        <v>156</v>
      </c>
      <c r="H153" s="20" t="n">
        <v>5.58</v>
      </c>
    </row>
    <row r="154" customFormat="false" ht="15" hidden="false" customHeight="true" outlineLevel="0" collapsed="false">
      <c r="A154" s="22" t="n">
        <v>158</v>
      </c>
      <c r="B154" s="20" t="n">
        <v>5.44</v>
      </c>
      <c r="D154" s="22" t="n">
        <v>158</v>
      </c>
      <c r="E154" s="20" t="n">
        <v>5.76</v>
      </c>
      <c r="G154" s="22" t="n">
        <v>158</v>
      </c>
      <c r="H154" s="20" t="n">
        <v>5.76</v>
      </c>
    </row>
    <row r="155" customFormat="false" ht="15" hidden="false" customHeight="true" outlineLevel="0" collapsed="false">
      <c r="A155" s="22" t="n">
        <v>160</v>
      </c>
      <c r="B155" s="20" t="n">
        <v>5.44</v>
      </c>
      <c r="D155" s="22" t="n">
        <v>160</v>
      </c>
      <c r="E155" s="20" t="n">
        <v>5.76</v>
      </c>
      <c r="G155" s="22" t="n">
        <v>160</v>
      </c>
      <c r="H155" s="20" t="n">
        <v>5.76</v>
      </c>
    </row>
    <row r="156" customFormat="false" ht="15" hidden="false" customHeight="true" outlineLevel="0" collapsed="false">
      <c r="A156" s="22" t="n">
        <v>162</v>
      </c>
      <c r="B156" s="20" t="n">
        <v>5.61</v>
      </c>
      <c r="D156" s="22" t="n">
        <v>162</v>
      </c>
      <c r="E156" s="20" t="n">
        <v>5.94</v>
      </c>
      <c r="G156" s="22" t="n">
        <v>162</v>
      </c>
      <c r="H156" s="20" t="n">
        <v>5.94</v>
      </c>
    </row>
    <row r="157" customFormat="false" ht="15" hidden="false" customHeight="true" outlineLevel="0" collapsed="false">
      <c r="A157" s="22" t="n">
        <v>164</v>
      </c>
      <c r="B157" s="20" t="n">
        <v>5.61</v>
      </c>
      <c r="D157" s="22" t="n">
        <v>164</v>
      </c>
      <c r="E157" s="20" t="n">
        <v>5.94</v>
      </c>
      <c r="G157" s="22" t="n">
        <v>164</v>
      </c>
      <c r="H157" s="20" t="n">
        <v>5.94</v>
      </c>
    </row>
    <row r="158" customFormat="false" ht="15" hidden="false" customHeight="true" outlineLevel="0" collapsed="false">
      <c r="A158" s="22" t="n">
        <v>166</v>
      </c>
      <c r="B158" s="20" t="n">
        <v>5.78</v>
      </c>
      <c r="D158" s="22" t="n">
        <v>166</v>
      </c>
      <c r="E158" s="20" t="n">
        <v>6.12</v>
      </c>
      <c r="G158" s="22" t="n">
        <v>166</v>
      </c>
      <c r="H158" s="20" t="n">
        <v>6.12</v>
      </c>
    </row>
    <row r="159" customFormat="false" ht="15" hidden="false" customHeight="true" outlineLevel="0" collapsed="false">
      <c r="A159" s="22" t="n">
        <v>168</v>
      </c>
      <c r="B159" s="20" t="n">
        <v>5.78</v>
      </c>
      <c r="D159" s="22" t="n">
        <v>168</v>
      </c>
      <c r="E159" s="20" t="n">
        <v>6.12</v>
      </c>
      <c r="G159" s="22" t="n">
        <v>168</v>
      </c>
      <c r="H159" s="20" t="n">
        <v>6.12</v>
      </c>
    </row>
    <row r="160" customFormat="false" ht="15" hidden="false" customHeight="true" outlineLevel="0" collapsed="false">
      <c r="A160" s="22" t="n">
        <v>170</v>
      </c>
      <c r="B160" s="20" t="n">
        <v>5.95</v>
      </c>
      <c r="D160" s="22" t="n">
        <v>170</v>
      </c>
      <c r="E160" s="20" t="n">
        <v>6.3</v>
      </c>
      <c r="G160" s="22" t="n">
        <v>170</v>
      </c>
      <c r="H160" s="20" t="n">
        <v>6.3</v>
      </c>
    </row>
    <row r="161" customFormat="false" ht="15" hidden="false" customHeight="true" outlineLevel="0" collapsed="false">
      <c r="A161" s="22" t="n">
        <v>172</v>
      </c>
      <c r="B161" s="20" t="n">
        <v>5.95</v>
      </c>
      <c r="D161" s="22" t="n">
        <v>172</v>
      </c>
      <c r="E161" s="20" t="n">
        <v>6.3</v>
      </c>
      <c r="G161" s="22" t="n">
        <v>172</v>
      </c>
      <c r="H161" s="20" t="n">
        <v>6.3</v>
      </c>
    </row>
    <row r="162" customFormat="false" ht="15" hidden="false" customHeight="true" outlineLevel="0" collapsed="false">
      <c r="A162" s="22" t="n">
        <v>174</v>
      </c>
      <c r="B162" s="20" t="n">
        <v>6.12</v>
      </c>
      <c r="D162" s="22" t="n">
        <v>174</v>
      </c>
      <c r="E162" s="20" t="n">
        <v>6.48</v>
      </c>
      <c r="G162" s="22" t="n">
        <v>174</v>
      </c>
      <c r="H162" s="20" t="n">
        <v>6.48</v>
      </c>
    </row>
    <row r="163" customFormat="false" ht="15" hidden="false" customHeight="true" outlineLevel="0" collapsed="false">
      <c r="A163" s="22" t="n">
        <v>176</v>
      </c>
      <c r="B163" s="20" t="n">
        <v>6.12</v>
      </c>
      <c r="D163" s="22" t="n">
        <v>176</v>
      </c>
      <c r="E163" s="20" t="n">
        <v>6.48</v>
      </c>
      <c r="G163" s="22" t="n">
        <v>176</v>
      </c>
      <c r="H163" s="20" t="n">
        <v>6.48</v>
      </c>
    </row>
    <row r="164" customFormat="false" ht="15" hidden="false" customHeight="true" outlineLevel="0" collapsed="false">
      <c r="A164" s="22" t="n">
        <v>178</v>
      </c>
      <c r="B164" s="20" t="n">
        <v>6.29</v>
      </c>
      <c r="D164" s="22" t="n">
        <v>178</v>
      </c>
      <c r="E164" s="20" t="n">
        <v>6.66</v>
      </c>
      <c r="G164" s="22" t="n">
        <v>178</v>
      </c>
      <c r="H164" s="20" t="n">
        <v>6.66</v>
      </c>
    </row>
    <row r="165" customFormat="false" ht="15" hidden="false" customHeight="true" outlineLevel="0" collapsed="false">
      <c r="A165" s="22" t="n">
        <v>180</v>
      </c>
      <c r="B165" s="20" t="n">
        <v>6.29</v>
      </c>
      <c r="D165" s="22" t="n">
        <v>180</v>
      </c>
      <c r="E165" s="20" t="n">
        <v>6.66</v>
      </c>
      <c r="G165" s="22" t="n">
        <v>180</v>
      </c>
      <c r="H165" s="20" t="n">
        <v>6.66</v>
      </c>
    </row>
    <row r="166" customFormat="false" ht="15" hidden="false" customHeight="true" outlineLevel="0" collapsed="false">
      <c r="A166" s="22" t="n">
        <v>182</v>
      </c>
      <c r="B166" s="20" t="n">
        <v>6.46</v>
      </c>
      <c r="D166" s="22" t="n">
        <v>182</v>
      </c>
      <c r="E166" s="20" t="n">
        <v>6.84</v>
      </c>
      <c r="G166" s="22" t="n">
        <v>182</v>
      </c>
      <c r="H166" s="20" t="n">
        <v>6.84</v>
      </c>
    </row>
    <row r="167" customFormat="false" ht="15" hidden="false" customHeight="true" outlineLevel="0" collapsed="false">
      <c r="A167" s="22" t="n">
        <v>184</v>
      </c>
      <c r="B167" s="20" t="n">
        <v>6.46</v>
      </c>
      <c r="D167" s="22" t="n">
        <v>184</v>
      </c>
      <c r="E167" s="20" t="n">
        <v>6.84</v>
      </c>
      <c r="G167" s="22" t="n">
        <v>184</v>
      </c>
      <c r="H167" s="20" t="n">
        <v>6.84</v>
      </c>
    </row>
    <row r="168" customFormat="false" ht="15" hidden="false" customHeight="true" outlineLevel="0" collapsed="false">
      <c r="A168" s="22" t="n">
        <v>186</v>
      </c>
      <c r="B168" s="20" t="n">
        <v>6.63</v>
      </c>
      <c r="D168" s="22" t="n">
        <v>186</v>
      </c>
      <c r="E168" s="20" t="n">
        <v>7.02</v>
      </c>
      <c r="G168" s="22" t="n">
        <v>186</v>
      </c>
      <c r="H168" s="20" t="n">
        <v>7.02</v>
      </c>
    </row>
    <row r="169" customFormat="false" ht="15" hidden="false" customHeight="true" outlineLevel="0" collapsed="false">
      <c r="A169" s="22" t="n">
        <v>188</v>
      </c>
      <c r="B169" s="20" t="n">
        <v>6.63</v>
      </c>
      <c r="D169" s="22" t="n">
        <v>188</v>
      </c>
      <c r="E169" s="20" t="n">
        <v>7.02</v>
      </c>
      <c r="G169" s="22" t="n">
        <v>188</v>
      </c>
      <c r="H169" s="20" t="n">
        <v>7.02</v>
      </c>
    </row>
    <row r="170" customFormat="false" ht="15" hidden="false" customHeight="true" outlineLevel="0" collapsed="false">
      <c r="A170" s="22" t="n">
        <v>190</v>
      </c>
      <c r="B170" s="20" t="n">
        <v>6.8</v>
      </c>
      <c r="D170" s="22" t="n">
        <v>190</v>
      </c>
      <c r="E170" s="20" t="n">
        <v>7.2</v>
      </c>
      <c r="G170" s="22" t="n">
        <v>190</v>
      </c>
      <c r="H170" s="20" t="n">
        <v>7.2</v>
      </c>
    </row>
    <row r="171" customFormat="false" ht="15" hidden="false" customHeight="true" outlineLevel="0" collapsed="false">
      <c r="A171" s="22" t="n">
        <v>192</v>
      </c>
      <c r="B171" s="20" t="n">
        <v>6.8</v>
      </c>
      <c r="D171" s="22" t="n">
        <v>192</v>
      </c>
      <c r="E171" s="20" t="n">
        <v>7.2</v>
      </c>
      <c r="G171" s="22" t="n">
        <v>192</v>
      </c>
      <c r="H171" s="20" t="n">
        <v>7.2</v>
      </c>
    </row>
    <row r="172" customFormat="false" ht="15" hidden="false" customHeight="true" outlineLevel="0" collapsed="false">
      <c r="A172" s="22" t="n">
        <v>194</v>
      </c>
      <c r="B172" s="20" t="n">
        <v>6.97</v>
      </c>
      <c r="D172" s="22" t="n">
        <v>194</v>
      </c>
      <c r="E172" s="20" t="n">
        <v>7.38</v>
      </c>
      <c r="G172" s="22" t="n">
        <v>194</v>
      </c>
      <c r="H172" s="20" t="n">
        <v>7.38</v>
      </c>
    </row>
    <row r="173" customFormat="false" ht="15" hidden="false" customHeight="true" outlineLevel="0" collapsed="false">
      <c r="A173" s="22" t="n">
        <v>196</v>
      </c>
      <c r="B173" s="20" t="n">
        <v>6.97</v>
      </c>
      <c r="D173" s="22" t="n">
        <v>196</v>
      </c>
      <c r="E173" s="20" t="n">
        <v>7.38</v>
      </c>
      <c r="G173" s="22" t="n">
        <v>196</v>
      </c>
      <c r="H173" s="20" t="n">
        <v>7.38</v>
      </c>
    </row>
    <row r="174" customFormat="false" ht="15" hidden="false" customHeight="true" outlineLevel="0" collapsed="false">
      <c r="A174" s="22" t="n">
        <v>198</v>
      </c>
      <c r="B174" s="20" t="n">
        <v>7.14</v>
      </c>
      <c r="D174" s="22" t="n">
        <v>198</v>
      </c>
      <c r="E174" s="20" t="n">
        <v>7.56</v>
      </c>
      <c r="G174" s="22" t="n">
        <v>198</v>
      </c>
      <c r="H174" s="20" t="n">
        <v>7.56</v>
      </c>
    </row>
    <row r="175" customFormat="false" ht="15" hidden="false" customHeight="true" outlineLevel="0" collapsed="false">
      <c r="A175" s="22" t="n">
        <v>200</v>
      </c>
      <c r="B175" s="20" t="n">
        <v>7.14</v>
      </c>
      <c r="D175" s="22" t="n">
        <v>200</v>
      </c>
      <c r="E175" s="20" t="n">
        <v>7.56</v>
      </c>
      <c r="G175" s="22" t="n">
        <v>200</v>
      </c>
      <c r="H175" s="20" t="n">
        <v>7.56</v>
      </c>
    </row>
    <row r="176" customFormat="false" ht="15" hidden="false" customHeight="true" outlineLevel="0" collapsed="false">
      <c r="A176" s="22" t="n">
        <v>202</v>
      </c>
      <c r="B176" s="20" t="n">
        <v>7.31</v>
      </c>
      <c r="D176" s="22" t="n">
        <v>202</v>
      </c>
      <c r="E176" s="20" t="n">
        <v>7.74</v>
      </c>
      <c r="G176" s="22" t="n">
        <v>202</v>
      </c>
      <c r="H176" s="20" t="n">
        <v>7.74</v>
      </c>
    </row>
    <row r="177" customFormat="false" ht="15" hidden="false" customHeight="true" outlineLevel="0" collapsed="false">
      <c r="A177" s="22" t="n">
        <v>204</v>
      </c>
      <c r="B177" s="20" t="n">
        <v>7.31</v>
      </c>
      <c r="D177" s="22" t="n">
        <v>204</v>
      </c>
      <c r="E177" s="20" t="n">
        <v>7.74</v>
      </c>
      <c r="G177" s="22" t="n">
        <v>204</v>
      </c>
      <c r="H177" s="20" t="n">
        <v>7.74</v>
      </c>
    </row>
    <row r="178" customFormat="false" ht="15" hidden="false" customHeight="true" outlineLevel="0" collapsed="false">
      <c r="A178" s="22" t="n">
        <v>206</v>
      </c>
      <c r="B178" s="20" t="n">
        <v>7.48</v>
      </c>
      <c r="D178" s="22" t="n">
        <v>206</v>
      </c>
      <c r="E178" s="20" t="n">
        <v>7.92</v>
      </c>
      <c r="G178" s="22" t="n">
        <v>206</v>
      </c>
      <c r="H178" s="20" t="n">
        <v>7.92</v>
      </c>
    </row>
    <row r="179" customFormat="false" ht="15" hidden="false" customHeight="true" outlineLevel="0" collapsed="false">
      <c r="A179" s="22" t="n">
        <v>208</v>
      </c>
      <c r="B179" s="20" t="n">
        <v>7.48</v>
      </c>
      <c r="D179" s="22" t="n">
        <v>208</v>
      </c>
      <c r="E179" s="20" t="n">
        <v>7.92</v>
      </c>
      <c r="G179" s="22" t="n">
        <v>208</v>
      </c>
      <c r="H179" s="20" t="n">
        <v>7.92</v>
      </c>
    </row>
    <row r="180" customFormat="false" ht="15" hidden="false" customHeight="true" outlineLevel="0" collapsed="false">
      <c r="A180" s="22" t="n">
        <v>210</v>
      </c>
      <c r="B180" s="20" t="n">
        <v>7.65</v>
      </c>
      <c r="D180" s="22" t="n">
        <v>210</v>
      </c>
      <c r="E180" s="20" t="n">
        <v>8.1</v>
      </c>
      <c r="G180" s="22" t="n">
        <v>210</v>
      </c>
      <c r="H180" s="20" t="n">
        <v>8.1</v>
      </c>
    </row>
    <row r="181" customFormat="false" ht="15" hidden="false" customHeight="true" outlineLevel="0" collapsed="false">
      <c r="A181" s="22" t="n">
        <v>212</v>
      </c>
      <c r="B181" s="20" t="n">
        <v>7.65</v>
      </c>
      <c r="D181" s="22" t="n">
        <v>212</v>
      </c>
      <c r="E181" s="20" t="n">
        <v>8.1</v>
      </c>
      <c r="G181" s="22" t="n">
        <v>212</v>
      </c>
      <c r="H181" s="20" t="n">
        <v>8.1</v>
      </c>
    </row>
    <row r="182" customFormat="false" ht="15" hidden="false" customHeight="true" outlineLevel="0" collapsed="false">
      <c r="A182" s="22" t="n">
        <v>214</v>
      </c>
      <c r="B182" s="20" t="n">
        <v>7.82</v>
      </c>
      <c r="D182" s="22" t="n">
        <v>214</v>
      </c>
      <c r="E182" s="20" t="n">
        <v>8.28</v>
      </c>
      <c r="G182" s="22" t="n">
        <v>214</v>
      </c>
      <c r="H182" s="20" t="n">
        <v>8.28</v>
      </c>
    </row>
    <row r="183" customFormat="false" ht="15" hidden="false" customHeight="true" outlineLevel="0" collapsed="false">
      <c r="A183" s="22" t="n">
        <v>216</v>
      </c>
      <c r="B183" s="20" t="n">
        <v>7.82</v>
      </c>
      <c r="D183" s="22" t="n">
        <v>216</v>
      </c>
      <c r="E183" s="20" t="n">
        <v>8.28</v>
      </c>
      <c r="G183" s="22" t="n">
        <v>216</v>
      </c>
      <c r="H183" s="20" t="n">
        <v>8.28</v>
      </c>
    </row>
    <row r="184" customFormat="false" ht="15" hidden="false" customHeight="true" outlineLevel="0" collapsed="false">
      <c r="A184" s="22" t="n">
        <v>218</v>
      </c>
      <c r="B184" s="20" t="n">
        <v>7.99</v>
      </c>
      <c r="D184" s="22" t="n">
        <v>218</v>
      </c>
      <c r="E184" s="20" t="n">
        <v>8.46</v>
      </c>
      <c r="G184" s="22" t="n">
        <v>218</v>
      </c>
      <c r="H184" s="20" t="n">
        <v>8.46</v>
      </c>
    </row>
    <row r="185" customFormat="false" ht="15" hidden="false" customHeight="true" outlineLevel="0" collapsed="false">
      <c r="A185" s="22" t="n">
        <v>220</v>
      </c>
      <c r="B185" s="20" t="n">
        <v>7.99</v>
      </c>
      <c r="D185" s="22" t="n">
        <v>220</v>
      </c>
      <c r="E185" s="20" t="n">
        <v>8.46</v>
      </c>
      <c r="G185" s="22" t="n">
        <v>220</v>
      </c>
      <c r="H185" s="20" t="n">
        <v>8.46</v>
      </c>
    </row>
    <row r="186" customFormat="false" ht="15" hidden="false" customHeight="true" outlineLevel="0" collapsed="false">
      <c r="A186" s="22" t="n">
        <v>222</v>
      </c>
      <c r="B186" s="20" t="n">
        <v>8.16</v>
      </c>
      <c r="D186" s="22" t="n">
        <v>222</v>
      </c>
      <c r="E186" s="20" t="n">
        <v>8.64</v>
      </c>
      <c r="G186" s="22" t="n">
        <v>222</v>
      </c>
      <c r="H186" s="20" t="n">
        <v>8.64</v>
      </c>
    </row>
    <row r="187" customFormat="false" ht="15" hidden="false" customHeight="true" outlineLevel="0" collapsed="false">
      <c r="A187" s="22" t="n">
        <v>224</v>
      </c>
      <c r="B187" s="20" t="n">
        <v>8.16</v>
      </c>
      <c r="D187" s="22" t="n">
        <v>224</v>
      </c>
      <c r="E187" s="20" t="n">
        <v>8.64</v>
      </c>
      <c r="G187" s="22" t="n">
        <v>224</v>
      </c>
      <c r="H187" s="20" t="n">
        <v>8.64</v>
      </c>
    </row>
    <row r="188" customFormat="false" ht="15" hidden="false" customHeight="true" outlineLevel="0" collapsed="false">
      <c r="A188" s="22" t="n">
        <v>226</v>
      </c>
      <c r="B188" s="20" t="n">
        <v>8.33</v>
      </c>
      <c r="D188" s="22" t="n">
        <v>226</v>
      </c>
      <c r="E188" s="20" t="n">
        <v>8.82</v>
      </c>
      <c r="G188" s="22" t="n">
        <v>226</v>
      </c>
      <c r="H188" s="20" t="n">
        <v>8.82</v>
      </c>
    </row>
    <row r="189" customFormat="false" ht="15" hidden="false" customHeight="true" outlineLevel="0" collapsed="false">
      <c r="A189" s="22" t="n">
        <v>228</v>
      </c>
      <c r="B189" s="20" t="n">
        <v>8.33</v>
      </c>
      <c r="D189" s="22" t="n">
        <v>228</v>
      </c>
      <c r="E189" s="20" t="n">
        <v>8.82</v>
      </c>
      <c r="G189" s="22" t="n">
        <v>228</v>
      </c>
      <c r="H189" s="20" t="n">
        <v>8.82</v>
      </c>
    </row>
    <row r="190" customFormat="false" ht="15" hidden="false" customHeight="true" outlineLevel="0" collapsed="false">
      <c r="A190" s="22" t="n">
        <v>230</v>
      </c>
      <c r="B190" s="20" t="n">
        <v>8.5</v>
      </c>
      <c r="D190" s="22" t="n">
        <v>230</v>
      </c>
      <c r="E190" s="20" t="n">
        <v>9</v>
      </c>
      <c r="G190" s="22" t="n">
        <v>230</v>
      </c>
      <c r="H190" s="20" t="n">
        <v>9</v>
      </c>
    </row>
    <row r="191" customFormat="false" ht="15" hidden="false" customHeight="true" outlineLevel="0" collapsed="false">
      <c r="A191" s="22" t="n">
        <v>232</v>
      </c>
      <c r="B191" s="20" t="n">
        <v>8.5</v>
      </c>
      <c r="D191" s="22" t="n">
        <v>232</v>
      </c>
      <c r="E191" s="20" t="n">
        <v>9</v>
      </c>
      <c r="G191" s="22" t="n">
        <v>232</v>
      </c>
      <c r="H191" s="20" t="n">
        <v>9</v>
      </c>
    </row>
    <row r="192" customFormat="false" ht="15" hidden="false" customHeight="true" outlineLevel="0" collapsed="false">
      <c r="A192" s="22" t="n">
        <v>234</v>
      </c>
      <c r="B192" s="20" t="n">
        <v>8.67</v>
      </c>
      <c r="D192" s="22" t="n">
        <v>234</v>
      </c>
      <c r="E192" s="20" t="n">
        <v>9.18</v>
      </c>
      <c r="G192" s="22" t="n">
        <v>234</v>
      </c>
      <c r="H192" s="20" t="n">
        <v>9.18</v>
      </c>
    </row>
    <row r="193" customFormat="false" ht="15" hidden="false" customHeight="true" outlineLevel="0" collapsed="false">
      <c r="A193" s="22" t="n">
        <v>236</v>
      </c>
      <c r="B193" s="20" t="n">
        <v>8.67</v>
      </c>
      <c r="D193" s="22" t="n">
        <v>236</v>
      </c>
      <c r="E193" s="20" t="n">
        <v>9.18</v>
      </c>
      <c r="G193" s="22" t="n">
        <v>236</v>
      </c>
      <c r="H193" s="20" t="n">
        <v>9.18</v>
      </c>
    </row>
    <row r="194" customFormat="false" ht="15" hidden="false" customHeight="true" outlineLevel="0" collapsed="false">
      <c r="A194" s="22" t="n">
        <v>238</v>
      </c>
      <c r="B194" s="20" t="n">
        <v>8.84</v>
      </c>
      <c r="D194" s="22" t="n">
        <v>238</v>
      </c>
      <c r="E194" s="20" t="n">
        <v>9.36</v>
      </c>
      <c r="G194" s="22" t="n">
        <v>238</v>
      </c>
      <c r="H194" s="20" t="n">
        <v>9.36</v>
      </c>
    </row>
    <row r="195" customFormat="false" ht="15" hidden="false" customHeight="true" outlineLevel="0" collapsed="false">
      <c r="A195" s="22" t="n">
        <v>240</v>
      </c>
      <c r="B195" s="20" t="n">
        <v>8.84</v>
      </c>
      <c r="D195" s="22" t="n">
        <v>240</v>
      </c>
      <c r="E195" s="20" t="n">
        <v>9.36</v>
      </c>
      <c r="G195" s="22" t="n">
        <v>240</v>
      </c>
      <c r="H195" s="20" t="n">
        <v>9.36</v>
      </c>
    </row>
    <row r="196" customFormat="false" ht="15" hidden="false" customHeight="true" outlineLevel="0" collapsed="false">
      <c r="A196" s="22" t="n">
        <v>242</v>
      </c>
      <c r="B196" s="20" t="n">
        <v>9.01</v>
      </c>
      <c r="D196" s="22" t="n">
        <v>242</v>
      </c>
      <c r="E196" s="20" t="n">
        <v>9.54</v>
      </c>
      <c r="G196" s="22" t="n">
        <v>242</v>
      </c>
      <c r="H196" s="20" t="n">
        <v>9.54</v>
      </c>
    </row>
    <row r="197" customFormat="false" ht="15" hidden="false" customHeight="true" outlineLevel="0" collapsed="false">
      <c r="A197" s="22" t="n">
        <v>244</v>
      </c>
      <c r="B197" s="20" t="n">
        <v>9.01</v>
      </c>
      <c r="D197" s="22" t="n">
        <v>244</v>
      </c>
      <c r="E197" s="20" t="n">
        <v>9.54</v>
      </c>
      <c r="G197" s="22" t="n">
        <v>244</v>
      </c>
      <c r="H197" s="20" t="n">
        <v>9.54</v>
      </c>
    </row>
    <row r="198" customFormat="false" ht="15" hidden="false" customHeight="true" outlineLevel="0" collapsed="false">
      <c r="A198" s="22" t="n">
        <v>246</v>
      </c>
      <c r="B198" s="20" t="n">
        <v>9.18</v>
      </c>
      <c r="D198" s="22" t="n">
        <v>246</v>
      </c>
      <c r="E198" s="20" t="n">
        <v>9.72</v>
      </c>
      <c r="G198" s="22" t="n">
        <v>246</v>
      </c>
      <c r="H198" s="20" t="n">
        <v>9.72</v>
      </c>
    </row>
    <row r="199" customFormat="false" ht="15" hidden="false" customHeight="true" outlineLevel="0" collapsed="false">
      <c r="A199" s="22" t="n">
        <v>248</v>
      </c>
      <c r="B199" s="20" t="n">
        <v>9.18</v>
      </c>
      <c r="D199" s="22" t="n">
        <v>248</v>
      </c>
      <c r="E199" s="20" t="n">
        <v>9.72</v>
      </c>
      <c r="G199" s="22" t="n">
        <v>248</v>
      </c>
      <c r="H199" s="20" t="n">
        <v>9.72</v>
      </c>
    </row>
    <row r="200" customFormat="false" ht="15" hidden="false" customHeight="true" outlineLevel="0" collapsed="false">
      <c r="A200" s="22" t="n">
        <v>250</v>
      </c>
      <c r="B200" s="20" t="n">
        <v>9.35</v>
      </c>
      <c r="D200" s="22" t="n">
        <v>250</v>
      </c>
      <c r="E200" s="20" t="n">
        <v>9.9</v>
      </c>
      <c r="G200" s="22" t="n">
        <v>250</v>
      </c>
      <c r="H200" s="20" t="n">
        <v>9.9</v>
      </c>
    </row>
    <row r="201" customFormat="false" ht="15" hidden="false" customHeight="true" outlineLevel="0" collapsed="false">
      <c r="A201" s="22" t="n">
        <v>252</v>
      </c>
      <c r="B201" s="20" t="n">
        <v>9.35</v>
      </c>
      <c r="D201" s="22" t="n">
        <v>252</v>
      </c>
      <c r="E201" s="20" t="n">
        <v>9.9</v>
      </c>
      <c r="G201" s="22" t="n">
        <v>252</v>
      </c>
      <c r="H201" s="20" t="n">
        <v>9.9</v>
      </c>
    </row>
    <row r="202" customFormat="false" ht="15" hidden="false" customHeight="true" outlineLevel="0" collapsed="false">
      <c r="A202" s="22" t="n">
        <v>254</v>
      </c>
      <c r="B202" s="20" t="n">
        <v>9.52</v>
      </c>
      <c r="D202" s="22" t="n">
        <v>254</v>
      </c>
      <c r="E202" s="20" t="n">
        <v>10.08</v>
      </c>
      <c r="G202" s="22" t="n">
        <v>254</v>
      </c>
      <c r="H202" s="20" t="n">
        <v>10.08</v>
      </c>
    </row>
    <row r="203" customFormat="false" ht="15" hidden="false" customHeight="true" outlineLevel="0" collapsed="false">
      <c r="A203" s="22" t="n">
        <v>256</v>
      </c>
      <c r="B203" s="20" t="n">
        <v>9.52</v>
      </c>
      <c r="D203" s="22" t="n">
        <v>256</v>
      </c>
      <c r="E203" s="20" t="n">
        <v>10.08</v>
      </c>
      <c r="G203" s="22" t="n">
        <v>256</v>
      </c>
      <c r="H203" s="20" t="n">
        <v>10.08</v>
      </c>
    </row>
    <row r="204" customFormat="false" ht="15" hidden="false" customHeight="true" outlineLevel="0" collapsed="false">
      <c r="A204" s="22" t="n">
        <v>258</v>
      </c>
      <c r="B204" s="20" t="n">
        <v>9.69</v>
      </c>
      <c r="D204" s="22" t="n">
        <v>258</v>
      </c>
      <c r="E204" s="20" t="n">
        <v>10.26</v>
      </c>
      <c r="G204" s="22" t="n">
        <v>258</v>
      </c>
      <c r="H204" s="20" t="n">
        <v>10.26</v>
      </c>
    </row>
    <row r="205" customFormat="false" ht="15" hidden="false" customHeight="true" outlineLevel="0" collapsed="false">
      <c r="A205" s="22" t="n">
        <v>260</v>
      </c>
      <c r="B205" s="20" t="n">
        <v>9.69</v>
      </c>
      <c r="D205" s="22" t="n">
        <v>260</v>
      </c>
      <c r="E205" s="20" t="n">
        <v>10.26</v>
      </c>
      <c r="G205" s="22" t="n">
        <v>260</v>
      </c>
      <c r="H205" s="20" t="n">
        <v>10.26</v>
      </c>
    </row>
    <row r="206" customFormat="false" ht="15" hidden="false" customHeight="true" outlineLevel="0" collapsed="false">
      <c r="A206" s="22" t="n">
        <v>262</v>
      </c>
      <c r="B206" s="20" t="n">
        <v>9.86</v>
      </c>
      <c r="D206" s="22" t="n">
        <v>262</v>
      </c>
      <c r="E206" s="20" t="n">
        <v>10.44</v>
      </c>
      <c r="G206" s="22" t="n">
        <v>262</v>
      </c>
      <c r="H206" s="20" t="n">
        <v>10.44</v>
      </c>
    </row>
    <row r="207" customFormat="false" ht="15" hidden="false" customHeight="true" outlineLevel="0" collapsed="false">
      <c r="A207" s="22" t="n">
        <v>264</v>
      </c>
      <c r="B207" s="20" t="n">
        <v>9.86</v>
      </c>
      <c r="D207" s="22" t="n">
        <v>264</v>
      </c>
      <c r="E207" s="20" t="n">
        <v>10.44</v>
      </c>
      <c r="G207" s="22" t="n">
        <v>264</v>
      </c>
      <c r="H207" s="20" t="n">
        <v>10.44</v>
      </c>
    </row>
    <row r="208" customFormat="false" ht="15" hidden="false" customHeight="true" outlineLevel="0" collapsed="false">
      <c r="A208" s="22" t="n">
        <v>266</v>
      </c>
      <c r="B208" s="20" t="n">
        <v>10.03</v>
      </c>
      <c r="D208" s="22" t="n">
        <v>266</v>
      </c>
      <c r="E208" s="20" t="n">
        <v>10.62</v>
      </c>
      <c r="G208" s="22" t="n">
        <v>266</v>
      </c>
      <c r="H208" s="20" t="n">
        <v>10.62</v>
      </c>
    </row>
    <row r="209" customFormat="false" ht="15" hidden="false" customHeight="true" outlineLevel="0" collapsed="false">
      <c r="A209" s="22" t="n">
        <v>268</v>
      </c>
      <c r="B209" s="20" t="n">
        <v>10.03</v>
      </c>
      <c r="D209" s="22" t="n">
        <v>268</v>
      </c>
      <c r="E209" s="20" t="n">
        <v>10.62</v>
      </c>
      <c r="G209" s="22" t="n">
        <v>268</v>
      </c>
      <c r="H209" s="20" t="n">
        <v>10.62</v>
      </c>
    </row>
    <row r="210" customFormat="false" ht="15" hidden="false" customHeight="true" outlineLevel="0" collapsed="false">
      <c r="A210" s="22" t="n">
        <v>270</v>
      </c>
      <c r="B210" s="20" t="n">
        <v>10.2</v>
      </c>
      <c r="D210" s="22" t="n">
        <v>270</v>
      </c>
      <c r="E210" s="20" t="n">
        <v>10.8</v>
      </c>
      <c r="G210" s="22" t="n">
        <v>270</v>
      </c>
      <c r="H210" s="20" t="n">
        <v>10.8</v>
      </c>
    </row>
    <row r="211" customFormat="false" ht="15" hidden="false" customHeight="true" outlineLevel="0" collapsed="false">
      <c r="A211" s="22" t="n">
        <v>272</v>
      </c>
      <c r="B211" s="20" t="n">
        <v>10.2</v>
      </c>
      <c r="D211" s="22" t="n">
        <v>272</v>
      </c>
      <c r="E211" s="20" t="n">
        <v>10.8</v>
      </c>
      <c r="G211" s="22" t="n">
        <v>272</v>
      </c>
      <c r="H211" s="20" t="n">
        <v>10.8</v>
      </c>
    </row>
    <row r="212" customFormat="false" ht="15" hidden="false" customHeight="true" outlineLevel="0" collapsed="false">
      <c r="A212" s="22" t="n">
        <v>274</v>
      </c>
      <c r="B212" s="20" t="n">
        <v>10.37</v>
      </c>
      <c r="D212" s="22" t="n">
        <v>274</v>
      </c>
      <c r="E212" s="20" t="n">
        <v>10.98</v>
      </c>
      <c r="G212" s="22" t="n">
        <v>274</v>
      </c>
      <c r="H212" s="20" t="n">
        <v>10.98</v>
      </c>
    </row>
    <row r="213" customFormat="false" ht="15" hidden="false" customHeight="true" outlineLevel="0" collapsed="false">
      <c r="A213" s="22" t="n">
        <v>276</v>
      </c>
      <c r="B213" s="20" t="n">
        <v>10.37</v>
      </c>
      <c r="D213" s="22" t="n">
        <v>276</v>
      </c>
      <c r="E213" s="20" t="n">
        <v>10.98</v>
      </c>
      <c r="G213" s="22" t="n">
        <v>276</v>
      </c>
      <c r="H213" s="20" t="n">
        <v>10.98</v>
      </c>
    </row>
    <row r="214" customFormat="false" ht="15" hidden="false" customHeight="true" outlineLevel="0" collapsed="false">
      <c r="A214" s="22" t="n">
        <v>278</v>
      </c>
      <c r="B214" s="20" t="n">
        <v>10.54</v>
      </c>
      <c r="D214" s="22" t="n">
        <v>278</v>
      </c>
      <c r="E214" s="20" t="n">
        <v>11.16</v>
      </c>
      <c r="G214" s="22" t="n">
        <v>278</v>
      </c>
      <c r="H214" s="20" t="n">
        <v>11.16</v>
      </c>
    </row>
    <row r="215" customFormat="false" ht="15" hidden="false" customHeight="true" outlineLevel="0" collapsed="false">
      <c r="A215" s="22" t="n">
        <v>280</v>
      </c>
      <c r="B215" s="20" t="n">
        <v>10.54</v>
      </c>
      <c r="D215" s="22" t="n">
        <v>280</v>
      </c>
      <c r="E215" s="20" t="n">
        <v>11.16</v>
      </c>
      <c r="G215" s="22" t="n">
        <v>280</v>
      </c>
      <c r="H215" s="20" t="n">
        <v>11.16</v>
      </c>
    </row>
    <row r="216" customFormat="false" ht="15" hidden="false" customHeight="true" outlineLevel="0" collapsed="false">
      <c r="A216" s="22" t="n">
        <v>282</v>
      </c>
      <c r="B216" s="20" t="n">
        <v>10.71</v>
      </c>
      <c r="D216" s="22" t="n">
        <v>282</v>
      </c>
      <c r="E216" s="20" t="n">
        <v>11.34</v>
      </c>
      <c r="G216" s="22" t="n">
        <v>282</v>
      </c>
      <c r="H216" s="20" t="n">
        <v>11.34</v>
      </c>
    </row>
    <row r="217" customFormat="false" ht="15" hidden="false" customHeight="true" outlineLevel="0" collapsed="false">
      <c r="A217" s="22" t="n">
        <v>284</v>
      </c>
      <c r="B217" s="20" t="n">
        <v>10.71</v>
      </c>
      <c r="D217" s="22" t="n">
        <v>284</v>
      </c>
      <c r="E217" s="20" t="n">
        <v>11.34</v>
      </c>
      <c r="G217" s="22" t="n">
        <v>284</v>
      </c>
      <c r="H217" s="20" t="n">
        <v>11.34</v>
      </c>
    </row>
    <row r="218" customFormat="false" ht="15" hidden="false" customHeight="true" outlineLevel="0" collapsed="false">
      <c r="A218" s="22" t="n">
        <v>286</v>
      </c>
      <c r="B218" s="20" t="n">
        <v>10.88</v>
      </c>
      <c r="D218" s="22" t="n">
        <v>286</v>
      </c>
      <c r="E218" s="20" t="n">
        <v>11.52</v>
      </c>
      <c r="G218" s="22" t="n">
        <v>286</v>
      </c>
      <c r="H218" s="20" t="n">
        <v>11.52</v>
      </c>
    </row>
    <row r="219" customFormat="false" ht="15" hidden="false" customHeight="true" outlineLevel="0" collapsed="false">
      <c r="A219" s="22" t="n">
        <v>288</v>
      </c>
      <c r="B219" s="20" t="n">
        <v>10.88</v>
      </c>
      <c r="D219" s="22" t="n">
        <v>288</v>
      </c>
      <c r="E219" s="20" t="n">
        <v>11.52</v>
      </c>
      <c r="G219" s="22" t="n">
        <v>288</v>
      </c>
      <c r="H219" s="20" t="n">
        <v>11.52</v>
      </c>
    </row>
    <row r="220" customFormat="false" ht="15" hidden="false" customHeight="true" outlineLevel="0" collapsed="false">
      <c r="A220" s="22" t="n">
        <v>290</v>
      </c>
      <c r="B220" s="20" t="n">
        <v>11.05</v>
      </c>
      <c r="D220" s="22" t="n">
        <v>290</v>
      </c>
      <c r="E220" s="20" t="n">
        <v>11.7</v>
      </c>
      <c r="G220" s="22" t="n">
        <v>290</v>
      </c>
      <c r="H220" s="20" t="n">
        <v>11.7</v>
      </c>
    </row>
    <row r="221" customFormat="false" ht="15" hidden="false" customHeight="true" outlineLevel="0" collapsed="false">
      <c r="A221" s="22" t="n">
        <v>292</v>
      </c>
      <c r="B221" s="20" t="n">
        <v>11.05</v>
      </c>
      <c r="D221" s="22" t="n">
        <v>292</v>
      </c>
      <c r="E221" s="20" t="n">
        <v>11.7</v>
      </c>
      <c r="G221" s="22" t="n">
        <v>292</v>
      </c>
      <c r="H221" s="20" t="n">
        <v>11.7</v>
      </c>
    </row>
    <row r="222" customFormat="false" ht="15" hidden="false" customHeight="true" outlineLevel="0" collapsed="false">
      <c r="A222" s="22" t="n">
        <v>294</v>
      </c>
      <c r="B222" s="20" t="n">
        <v>11.22</v>
      </c>
      <c r="D222" s="22" t="n">
        <v>294</v>
      </c>
      <c r="E222" s="20" t="n">
        <v>11.88</v>
      </c>
      <c r="G222" s="22" t="n">
        <v>294</v>
      </c>
      <c r="H222" s="20" t="n">
        <v>11.88</v>
      </c>
    </row>
    <row r="223" customFormat="false" ht="15" hidden="false" customHeight="true" outlineLevel="0" collapsed="false">
      <c r="A223" s="22" t="n">
        <v>296</v>
      </c>
      <c r="B223" s="20" t="n">
        <v>11.22</v>
      </c>
      <c r="D223" s="22" t="n">
        <v>296</v>
      </c>
      <c r="E223" s="20" t="n">
        <v>11.88</v>
      </c>
      <c r="G223" s="22" t="n">
        <v>296</v>
      </c>
      <c r="H223" s="20" t="n">
        <v>11.88</v>
      </c>
    </row>
    <row r="224" customFormat="false" ht="15" hidden="false" customHeight="true" outlineLevel="0" collapsed="false">
      <c r="A224" s="22" t="n">
        <v>298</v>
      </c>
      <c r="B224" s="20" t="n">
        <v>11.39</v>
      </c>
      <c r="D224" s="22" t="n">
        <v>298</v>
      </c>
      <c r="E224" s="20" t="n">
        <v>12.06</v>
      </c>
      <c r="G224" s="22" t="n">
        <v>298</v>
      </c>
      <c r="H224" s="20" t="n">
        <v>12.06</v>
      </c>
    </row>
    <row r="225" customFormat="false" ht="15" hidden="false" customHeight="true" outlineLevel="0" collapsed="false">
      <c r="A225" s="22" t="n">
        <v>300</v>
      </c>
      <c r="B225" s="20" t="n">
        <v>11.39</v>
      </c>
      <c r="D225" s="22" t="n">
        <v>300</v>
      </c>
      <c r="E225" s="20" t="n">
        <v>12.06</v>
      </c>
      <c r="G225" s="22" t="n">
        <v>300</v>
      </c>
      <c r="H225" s="20" t="n">
        <v>12.06</v>
      </c>
    </row>
    <row r="226" customFormat="false" ht="15" hidden="false" customHeight="true" outlineLevel="0" collapsed="false">
      <c r="A226" s="22" t="n">
        <v>302</v>
      </c>
      <c r="B226" s="20" t="n">
        <v>11.56</v>
      </c>
      <c r="D226" s="22" t="n">
        <v>302</v>
      </c>
      <c r="E226" s="20" t="n">
        <v>12.24</v>
      </c>
      <c r="G226" s="22" t="n">
        <v>302</v>
      </c>
      <c r="H226" s="20" t="n">
        <v>12.24</v>
      </c>
    </row>
    <row r="227" customFormat="false" ht="15" hidden="false" customHeight="true" outlineLevel="0" collapsed="false">
      <c r="A227" s="22" t="n">
        <v>304</v>
      </c>
      <c r="B227" s="20" t="n">
        <v>11.56</v>
      </c>
      <c r="D227" s="22" t="n">
        <v>304</v>
      </c>
      <c r="E227" s="20" t="n">
        <v>12.24</v>
      </c>
      <c r="G227" s="22" t="n">
        <v>304</v>
      </c>
      <c r="H227" s="20" t="n">
        <v>12.24</v>
      </c>
    </row>
    <row r="228" customFormat="false" ht="15" hidden="false" customHeight="true" outlineLevel="0" collapsed="false">
      <c r="A228" s="22" t="n">
        <v>306</v>
      </c>
      <c r="B228" s="20" t="n">
        <v>11.73</v>
      </c>
      <c r="D228" s="22" t="n">
        <v>306</v>
      </c>
      <c r="E228" s="20" t="n">
        <v>12.42</v>
      </c>
      <c r="G228" s="22" t="n">
        <v>306</v>
      </c>
      <c r="H228" s="20" t="n">
        <v>12.42</v>
      </c>
    </row>
    <row r="229" customFormat="false" ht="15" hidden="false" customHeight="true" outlineLevel="0" collapsed="false">
      <c r="A229" s="22" t="n">
        <v>308</v>
      </c>
      <c r="B229" s="20" t="n">
        <v>11.73</v>
      </c>
      <c r="D229" s="22" t="n">
        <v>308</v>
      </c>
      <c r="E229" s="20" t="n">
        <v>12.42</v>
      </c>
      <c r="G229" s="22" t="n">
        <v>308</v>
      </c>
      <c r="H229" s="20" t="n">
        <v>12.42</v>
      </c>
    </row>
    <row r="230" customFormat="false" ht="15" hidden="false" customHeight="true" outlineLevel="0" collapsed="false">
      <c r="A230" s="22" t="n">
        <v>310</v>
      </c>
      <c r="B230" s="20" t="n">
        <v>11.9</v>
      </c>
      <c r="D230" s="22" t="n">
        <v>310</v>
      </c>
      <c r="E230" s="20" t="n">
        <v>12.6</v>
      </c>
      <c r="G230" s="22" t="n">
        <v>310</v>
      </c>
      <c r="H230" s="20" t="n">
        <v>12.6</v>
      </c>
    </row>
    <row r="231" customFormat="false" ht="15" hidden="false" customHeight="true" outlineLevel="0" collapsed="false">
      <c r="A231" s="22" t="n">
        <v>312</v>
      </c>
      <c r="B231" s="20" t="n">
        <v>11.9</v>
      </c>
      <c r="D231" s="22" t="n">
        <v>312</v>
      </c>
      <c r="E231" s="20" t="n">
        <v>12.6</v>
      </c>
      <c r="G231" s="22" t="n">
        <v>312</v>
      </c>
      <c r="H231" s="20" t="n">
        <v>12.6</v>
      </c>
    </row>
    <row r="232" customFormat="false" ht="15" hidden="false" customHeight="true" outlineLevel="0" collapsed="false">
      <c r="A232" s="22" t="n">
        <v>314</v>
      </c>
      <c r="B232" s="20" t="n">
        <v>12.07</v>
      </c>
      <c r="D232" s="22" t="n">
        <v>314</v>
      </c>
      <c r="E232" s="20" t="n">
        <v>12.78</v>
      </c>
      <c r="G232" s="22" t="n">
        <v>314</v>
      </c>
      <c r="H232" s="20" t="n">
        <v>12.78</v>
      </c>
    </row>
    <row r="233" customFormat="false" ht="15" hidden="false" customHeight="true" outlineLevel="0" collapsed="false">
      <c r="A233" s="22" t="n">
        <v>316</v>
      </c>
      <c r="B233" s="20" t="n">
        <v>12.07</v>
      </c>
      <c r="D233" s="22" t="n">
        <v>316</v>
      </c>
      <c r="E233" s="20" t="n">
        <v>12.78</v>
      </c>
      <c r="G233" s="22" t="n">
        <v>316</v>
      </c>
      <c r="H233" s="20" t="n">
        <v>12.78</v>
      </c>
    </row>
    <row r="234" customFormat="false" ht="15" hidden="false" customHeight="true" outlineLevel="0" collapsed="false">
      <c r="A234" s="22" t="n">
        <v>318</v>
      </c>
      <c r="B234" s="20" t="n">
        <v>12.24</v>
      </c>
      <c r="D234" s="22" t="n">
        <v>318</v>
      </c>
      <c r="E234" s="20" t="n">
        <v>12.96</v>
      </c>
      <c r="G234" s="22" t="n">
        <v>318</v>
      </c>
      <c r="H234" s="20" t="n">
        <v>12.96</v>
      </c>
    </row>
    <row r="235" customFormat="false" ht="15" hidden="false" customHeight="true" outlineLevel="0" collapsed="false">
      <c r="A235" s="22" t="n">
        <v>320</v>
      </c>
      <c r="B235" s="20" t="n">
        <v>12.24</v>
      </c>
      <c r="D235" s="22" t="n">
        <v>320</v>
      </c>
      <c r="E235" s="20" t="n">
        <v>12.96</v>
      </c>
      <c r="G235" s="22" t="n">
        <v>320</v>
      </c>
      <c r="H235" s="20" t="n">
        <v>12.96</v>
      </c>
    </row>
    <row r="236" customFormat="false" ht="15" hidden="false" customHeight="true" outlineLevel="0" collapsed="false">
      <c r="A236" s="22" t="n">
        <v>322</v>
      </c>
      <c r="B236" s="20" t="n">
        <v>12.41</v>
      </c>
      <c r="D236" s="22" t="n">
        <v>322</v>
      </c>
      <c r="E236" s="20" t="n">
        <v>13.14</v>
      </c>
      <c r="G236" s="22" t="n">
        <v>322</v>
      </c>
      <c r="H236" s="20" t="n">
        <v>13.14</v>
      </c>
    </row>
    <row r="237" customFormat="false" ht="15" hidden="false" customHeight="true" outlineLevel="0" collapsed="false">
      <c r="A237" s="22" t="n">
        <v>324</v>
      </c>
      <c r="B237" s="20" t="n">
        <v>12.41</v>
      </c>
      <c r="D237" s="22" t="n">
        <v>324</v>
      </c>
      <c r="E237" s="20" t="n">
        <v>13.14</v>
      </c>
      <c r="G237" s="22" t="n">
        <v>324</v>
      </c>
      <c r="H237" s="20" t="n">
        <v>13.14</v>
      </c>
    </row>
    <row r="238" customFormat="false" ht="15" hidden="false" customHeight="true" outlineLevel="0" collapsed="false">
      <c r="A238" s="22" t="n">
        <v>326</v>
      </c>
      <c r="B238" s="20" t="n">
        <v>12.58</v>
      </c>
      <c r="D238" s="22" t="n">
        <v>326</v>
      </c>
      <c r="E238" s="20" t="n">
        <v>13.32</v>
      </c>
      <c r="G238" s="22" t="n">
        <v>326</v>
      </c>
      <c r="H238" s="20" t="n">
        <v>13.32</v>
      </c>
    </row>
    <row r="239" customFormat="false" ht="15" hidden="false" customHeight="true" outlineLevel="0" collapsed="false">
      <c r="A239" s="22" t="n">
        <v>328</v>
      </c>
      <c r="B239" s="20" t="n">
        <v>12.58</v>
      </c>
      <c r="D239" s="22" t="n">
        <v>328</v>
      </c>
      <c r="E239" s="20" t="n">
        <v>13.32</v>
      </c>
      <c r="G239" s="22" t="n">
        <v>328</v>
      </c>
      <c r="H239" s="20" t="n">
        <v>13.32</v>
      </c>
    </row>
    <row r="240" customFormat="false" ht="15" hidden="false" customHeight="true" outlineLevel="0" collapsed="false">
      <c r="A240" s="22" t="n">
        <v>330</v>
      </c>
      <c r="B240" s="20" t="n">
        <v>12.75</v>
      </c>
      <c r="D240" s="22" t="n">
        <v>330</v>
      </c>
      <c r="E240" s="20" t="n">
        <v>13.5</v>
      </c>
      <c r="G240" s="22" t="n">
        <v>330</v>
      </c>
      <c r="H240" s="20" t="n">
        <v>13.5</v>
      </c>
    </row>
    <row r="241" customFormat="false" ht="15" hidden="false" customHeight="true" outlineLevel="0" collapsed="false">
      <c r="A241" s="22" t="n">
        <v>332</v>
      </c>
      <c r="B241" s="20" t="n">
        <v>12.75</v>
      </c>
      <c r="D241" s="22" t="n">
        <v>332</v>
      </c>
      <c r="E241" s="20" t="n">
        <v>13.5</v>
      </c>
      <c r="G241" s="22" t="n">
        <v>332</v>
      </c>
      <c r="H241" s="20" t="n">
        <v>13.5</v>
      </c>
    </row>
    <row r="242" customFormat="false" ht="15" hidden="false" customHeight="true" outlineLevel="0" collapsed="false">
      <c r="A242" s="22" t="n">
        <v>334</v>
      </c>
      <c r="B242" s="20" t="n">
        <v>12.92</v>
      </c>
      <c r="D242" s="22" t="n">
        <v>334</v>
      </c>
      <c r="E242" s="20" t="n">
        <v>13.68</v>
      </c>
      <c r="G242" s="22" t="n">
        <v>334</v>
      </c>
      <c r="H242" s="20" t="n">
        <v>13.68</v>
      </c>
    </row>
    <row r="243" customFormat="false" ht="15" hidden="false" customHeight="true" outlineLevel="0" collapsed="false">
      <c r="A243" s="22" t="n">
        <v>336</v>
      </c>
      <c r="B243" s="20" t="n">
        <v>12.92</v>
      </c>
      <c r="D243" s="22" t="n">
        <v>336</v>
      </c>
      <c r="E243" s="20" t="n">
        <v>13.68</v>
      </c>
      <c r="G243" s="22" t="n">
        <v>336</v>
      </c>
      <c r="H243" s="20" t="n">
        <v>13.68</v>
      </c>
    </row>
    <row r="244" customFormat="false" ht="15" hidden="false" customHeight="true" outlineLevel="0" collapsed="false">
      <c r="A244" s="22" t="n">
        <v>338</v>
      </c>
      <c r="B244" s="20" t="n">
        <v>13.09</v>
      </c>
      <c r="D244" s="22" t="n">
        <v>338</v>
      </c>
      <c r="E244" s="20" t="n">
        <v>13.86</v>
      </c>
      <c r="G244" s="22" t="n">
        <v>338</v>
      </c>
      <c r="H244" s="20" t="n">
        <v>13.86</v>
      </c>
    </row>
    <row r="245" customFormat="false" ht="15" hidden="false" customHeight="true" outlineLevel="0" collapsed="false">
      <c r="A245" s="22" t="n">
        <v>340</v>
      </c>
      <c r="B245" s="20" t="n">
        <v>13.09</v>
      </c>
      <c r="D245" s="22" t="n">
        <v>340</v>
      </c>
      <c r="E245" s="20" t="n">
        <v>13.86</v>
      </c>
      <c r="G245" s="22" t="n">
        <v>340</v>
      </c>
      <c r="H245" s="20" t="n">
        <v>13.86</v>
      </c>
    </row>
    <row r="246" customFormat="false" ht="15" hidden="false" customHeight="true" outlineLevel="0" collapsed="false">
      <c r="A246" s="22" t="n">
        <v>342</v>
      </c>
      <c r="B246" s="20" t="n">
        <v>13.26</v>
      </c>
      <c r="D246" s="22" t="n">
        <v>342</v>
      </c>
      <c r="E246" s="20" t="n">
        <v>14.04</v>
      </c>
      <c r="G246" s="22" t="n">
        <v>342</v>
      </c>
      <c r="H246" s="20" t="n">
        <v>14.04</v>
      </c>
    </row>
    <row r="247" customFormat="false" ht="15" hidden="false" customHeight="true" outlineLevel="0" collapsed="false">
      <c r="A247" s="22" t="n">
        <v>344</v>
      </c>
      <c r="B247" s="20" t="n">
        <v>13.26</v>
      </c>
      <c r="D247" s="22" t="n">
        <v>344</v>
      </c>
      <c r="E247" s="20" t="n">
        <v>14.04</v>
      </c>
      <c r="G247" s="22" t="n">
        <v>344</v>
      </c>
      <c r="H247" s="20" t="n">
        <v>14.04</v>
      </c>
    </row>
    <row r="248" customFormat="false" ht="15" hidden="false" customHeight="true" outlineLevel="0" collapsed="false">
      <c r="A248" s="22" t="n">
        <v>346</v>
      </c>
      <c r="B248" s="20" t="n">
        <v>13.43</v>
      </c>
      <c r="D248" s="22" t="n">
        <v>346</v>
      </c>
      <c r="E248" s="20" t="n">
        <v>14.22</v>
      </c>
      <c r="G248" s="22" t="n">
        <v>346</v>
      </c>
      <c r="H248" s="20" t="n">
        <v>14.22</v>
      </c>
    </row>
    <row r="249" customFormat="false" ht="15" hidden="false" customHeight="true" outlineLevel="0" collapsed="false">
      <c r="A249" s="22" t="n">
        <v>348</v>
      </c>
      <c r="B249" s="20" t="n">
        <v>13.43</v>
      </c>
      <c r="D249" s="22" t="n">
        <v>348</v>
      </c>
      <c r="E249" s="20" t="n">
        <v>14.22</v>
      </c>
      <c r="G249" s="22" t="n">
        <v>348</v>
      </c>
      <c r="H249" s="20" t="n">
        <v>14.22</v>
      </c>
    </row>
    <row r="250" customFormat="false" ht="15" hidden="false" customHeight="true" outlineLevel="0" collapsed="false">
      <c r="A250" s="22" t="n">
        <v>350</v>
      </c>
      <c r="B250" s="20" t="n">
        <v>13.6</v>
      </c>
      <c r="D250" s="22" t="n">
        <v>350</v>
      </c>
      <c r="E250" s="20" t="n">
        <v>14.4</v>
      </c>
      <c r="G250" s="22" t="n">
        <v>350</v>
      </c>
      <c r="H250" s="20" t="n">
        <v>14.4</v>
      </c>
    </row>
    <row r="252" customFormat="false" ht="21.75" hidden="false" customHeight="true" outlineLevel="0" collapsed="false">
      <c r="A252" s="16" t="s">
        <v>75</v>
      </c>
      <c r="B252" s="16"/>
      <c r="C252" s="16"/>
      <c r="D252" s="16"/>
      <c r="E252" s="16"/>
      <c r="F252" s="16"/>
      <c r="G252" s="16"/>
      <c r="H252" s="16"/>
      <c r="I252" s="16"/>
    </row>
    <row r="253" customFormat="false" ht="17.25" hidden="false" customHeight="true" outlineLevel="0" collapsed="false"/>
    <row r="254" customFormat="false" ht="15" hidden="false" customHeight="true" outlineLevel="0" collapsed="false">
      <c r="A254" s="26" t="s">
        <v>76</v>
      </c>
      <c r="B254" s="26"/>
      <c r="D254" s="26" t="s">
        <v>77</v>
      </c>
      <c r="E254" s="26"/>
      <c r="G254" s="26" t="s">
        <v>78</v>
      </c>
      <c r="H254" s="26"/>
    </row>
    <row r="255" customFormat="false" ht="15" hidden="false" customHeight="true" outlineLevel="0" collapsed="false">
      <c r="A255" s="17" t="s">
        <v>79</v>
      </c>
      <c r="B255" s="17"/>
      <c r="D255" s="17" t="s">
        <v>80</v>
      </c>
      <c r="E255" s="17"/>
      <c r="G255" s="17" t="s">
        <v>80</v>
      </c>
      <c r="H255" s="17"/>
    </row>
    <row r="256" customFormat="false" ht="53.25" hidden="false" customHeight="true" outlineLevel="0" collapsed="false"/>
    <row r="257" customFormat="false" ht="15" hidden="false" customHeight="true" outlineLevel="0" collapsed="false">
      <c r="A257" s="18" t="s">
        <v>74</v>
      </c>
      <c r="B257" s="18" t="s">
        <v>23</v>
      </c>
      <c r="D257" s="18" t="s">
        <v>74</v>
      </c>
      <c r="E257" s="18" t="s">
        <v>23</v>
      </c>
      <c r="G257" s="18" t="s">
        <v>74</v>
      </c>
      <c r="H257" s="18" t="s">
        <v>23</v>
      </c>
    </row>
    <row r="258" customFormat="false" ht="15" hidden="false" customHeight="true" outlineLevel="0" collapsed="false">
      <c r="A258" s="22" t="n">
        <v>30</v>
      </c>
      <c r="B258" s="20" t="n">
        <v>0</v>
      </c>
      <c r="D258" s="22" t="n">
        <v>30</v>
      </c>
      <c r="E258" s="20" t="n">
        <v>0</v>
      </c>
      <c r="G258" s="22" t="n">
        <v>30</v>
      </c>
      <c r="H258" s="20" t="n">
        <v>0</v>
      </c>
    </row>
    <row r="259" customFormat="false" ht="15" hidden="false" customHeight="true" outlineLevel="0" collapsed="false">
      <c r="A259" s="22" t="n">
        <v>32</v>
      </c>
      <c r="B259" s="20" t="n">
        <v>0</v>
      </c>
      <c r="D259" s="22" t="n">
        <v>32</v>
      </c>
      <c r="E259" s="20" t="n">
        <v>0</v>
      </c>
      <c r="G259" s="22" t="n">
        <v>32</v>
      </c>
      <c r="H259" s="20" t="n">
        <v>0</v>
      </c>
    </row>
    <row r="260" customFormat="false" ht="15" hidden="false" customHeight="true" outlineLevel="0" collapsed="false">
      <c r="A260" s="22" t="n">
        <v>34</v>
      </c>
      <c r="B260" s="20" t="n">
        <v>0.26</v>
      </c>
      <c r="D260" s="22" t="n">
        <v>34</v>
      </c>
      <c r="E260" s="20" t="n">
        <v>0.28</v>
      </c>
      <c r="G260" s="22" t="n">
        <v>34</v>
      </c>
      <c r="H260" s="20" t="n">
        <v>0.28</v>
      </c>
    </row>
    <row r="261" customFormat="false" ht="15" hidden="false" customHeight="true" outlineLevel="0" collapsed="false">
      <c r="A261" s="22" t="n">
        <v>36</v>
      </c>
      <c r="B261" s="20" t="n">
        <v>0.26</v>
      </c>
      <c r="D261" s="22" t="n">
        <v>36</v>
      </c>
      <c r="E261" s="20" t="n">
        <v>0.28</v>
      </c>
      <c r="G261" s="22" t="n">
        <v>36</v>
      </c>
      <c r="H261" s="20" t="n">
        <v>0.28</v>
      </c>
    </row>
    <row r="262" customFormat="false" ht="15" hidden="false" customHeight="true" outlineLevel="0" collapsed="false">
      <c r="A262" s="22" t="n">
        <v>38</v>
      </c>
      <c r="B262" s="20" t="n">
        <v>0.52</v>
      </c>
      <c r="D262" s="22" t="n">
        <v>38</v>
      </c>
      <c r="E262" s="20" t="n">
        <v>0.56</v>
      </c>
      <c r="G262" s="22" t="n">
        <v>38</v>
      </c>
      <c r="H262" s="20" t="n">
        <v>0.56</v>
      </c>
    </row>
    <row r="263" customFormat="false" ht="15" hidden="false" customHeight="true" outlineLevel="0" collapsed="false">
      <c r="A263" s="22" t="n">
        <v>40</v>
      </c>
      <c r="B263" s="20" t="n">
        <v>0.52</v>
      </c>
      <c r="D263" s="22" t="n">
        <v>40</v>
      </c>
      <c r="E263" s="20" t="n">
        <v>0.56</v>
      </c>
      <c r="G263" s="22" t="n">
        <v>40</v>
      </c>
      <c r="H263" s="20" t="n">
        <v>0.56</v>
      </c>
    </row>
    <row r="264" customFormat="false" ht="15" hidden="false" customHeight="true" outlineLevel="0" collapsed="false">
      <c r="A264" s="22" t="n">
        <v>42</v>
      </c>
      <c r="B264" s="20" t="n">
        <v>0.78</v>
      </c>
      <c r="D264" s="22" t="n">
        <v>42</v>
      </c>
      <c r="E264" s="20" t="n">
        <v>0.84</v>
      </c>
      <c r="G264" s="22" t="n">
        <v>42</v>
      </c>
      <c r="H264" s="20" t="n">
        <v>0.84</v>
      </c>
    </row>
    <row r="265" customFormat="false" ht="15" hidden="false" customHeight="true" outlineLevel="0" collapsed="false">
      <c r="A265" s="22" t="n">
        <v>44</v>
      </c>
      <c r="B265" s="20" t="n">
        <v>0.78</v>
      </c>
      <c r="D265" s="22" t="n">
        <v>44</v>
      </c>
      <c r="E265" s="20" t="n">
        <v>0.84</v>
      </c>
      <c r="G265" s="22" t="n">
        <v>44</v>
      </c>
      <c r="H265" s="20" t="n">
        <v>0.84</v>
      </c>
    </row>
    <row r="266" customFormat="false" ht="15" hidden="false" customHeight="true" outlineLevel="0" collapsed="false">
      <c r="A266" s="22" t="n">
        <v>46</v>
      </c>
      <c r="B266" s="20" t="n">
        <v>1.04</v>
      </c>
      <c r="D266" s="22" t="n">
        <v>46</v>
      </c>
      <c r="E266" s="20" t="n">
        <v>1.12</v>
      </c>
      <c r="G266" s="22" t="n">
        <v>46</v>
      </c>
      <c r="H266" s="20" t="n">
        <v>1.12</v>
      </c>
    </row>
    <row r="267" customFormat="false" ht="15" hidden="false" customHeight="true" outlineLevel="0" collapsed="false">
      <c r="A267" s="22" t="n">
        <v>48</v>
      </c>
      <c r="B267" s="20" t="n">
        <v>1.04</v>
      </c>
      <c r="D267" s="22" t="n">
        <v>48</v>
      </c>
      <c r="E267" s="20" t="n">
        <v>1.12</v>
      </c>
      <c r="G267" s="22" t="n">
        <v>48</v>
      </c>
      <c r="H267" s="20" t="n">
        <v>1.12</v>
      </c>
    </row>
    <row r="268" customFormat="false" ht="15" hidden="false" customHeight="true" outlineLevel="0" collapsed="false">
      <c r="A268" s="22" t="n">
        <v>50</v>
      </c>
      <c r="B268" s="20" t="n">
        <v>1.3</v>
      </c>
      <c r="D268" s="22" t="n">
        <v>50</v>
      </c>
      <c r="E268" s="20" t="n">
        <v>1.4</v>
      </c>
      <c r="G268" s="22" t="n">
        <v>50</v>
      </c>
      <c r="H268" s="20" t="n">
        <v>1.4</v>
      </c>
    </row>
    <row r="269" customFormat="false" ht="15" hidden="false" customHeight="true" outlineLevel="0" collapsed="false">
      <c r="A269" s="22" t="n">
        <v>52</v>
      </c>
      <c r="B269" s="20" t="n">
        <v>1.3</v>
      </c>
      <c r="D269" s="22" t="n">
        <v>52</v>
      </c>
      <c r="E269" s="20" t="n">
        <v>1.4</v>
      </c>
      <c r="G269" s="22" t="n">
        <v>52</v>
      </c>
      <c r="H269" s="20" t="n">
        <v>1.4</v>
      </c>
    </row>
    <row r="270" customFormat="false" ht="15" hidden="false" customHeight="true" outlineLevel="0" collapsed="false">
      <c r="A270" s="22" t="n">
        <v>54</v>
      </c>
      <c r="B270" s="20" t="n">
        <v>1.56</v>
      </c>
      <c r="D270" s="22" t="n">
        <v>54</v>
      </c>
      <c r="E270" s="20" t="n">
        <v>1.68</v>
      </c>
      <c r="G270" s="22" t="n">
        <v>54</v>
      </c>
      <c r="H270" s="20" t="n">
        <v>1.68</v>
      </c>
    </row>
    <row r="271" customFormat="false" ht="15" hidden="false" customHeight="true" outlineLevel="0" collapsed="false">
      <c r="A271" s="22" t="n">
        <v>56</v>
      </c>
      <c r="B271" s="20" t="n">
        <v>1.56</v>
      </c>
      <c r="D271" s="22" t="n">
        <v>56</v>
      </c>
      <c r="E271" s="20" t="n">
        <v>1.68</v>
      </c>
      <c r="G271" s="22" t="n">
        <v>56</v>
      </c>
      <c r="H271" s="20" t="n">
        <v>1.68</v>
      </c>
    </row>
    <row r="272" customFormat="false" ht="15" hidden="false" customHeight="true" outlineLevel="0" collapsed="false">
      <c r="A272" s="22" t="n">
        <v>58</v>
      </c>
      <c r="B272" s="20" t="n">
        <v>1.82</v>
      </c>
      <c r="D272" s="22" t="n">
        <v>58</v>
      </c>
      <c r="E272" s="20" t="n">
        <v>1.96</v>
      </c>
      <c r="G272" s="22" t="n">
        <v>58</v>
      </c>
      <c r="H272" s="20" t="n">
        <v>1.96</v>
      </c>
    </row>
    <row r="273" customFormat="false" ht="15" hidden="false" customHeight="true" outlineLevel="0" collapsed="false">
      <c r="A273" s="22" t="n">
        <v>60</v>
      </c>
      <c r="B273" s="20" t="n">
        <v>1.82</v>
      </c>
      <c r="D273" s="22" t="n">
        <v>60</v>
      </c>
      <c r="E273" s="20" t="n">
        <v>1.96</v>
      </c>
      <c r="G273" s="22" t="n">
        <v>60</v>
      </c>
      <c r="H273" s="20" t="n">
        <v>1.96</v>
      </c>
    </row>
    <row r="274" customFormat="false" ht="15" hidden="false" customHeight="true" outlineLevel="0" collapsed="false">
      <c r="A274" s="22" t="n">
        <v>62</v>
      </c>
      <c r="B274" s="20" t="n">
        <v>2.08</v>
      </c>
      <c r="D274" s="22" t="n">
        <v>62</v>
      </c>
      <c r="E274" s="20" t="n">
        <v>2.24</v>
      </c>
      <c r="G274" s="22" t="n">
        <v>62</v>
      </c>
      <c r="H274" s="20" t="n">
        <v>2.24</v>
      </c>
    </row>
    <row r="275" customFormat="false" ht="15" hidden="false" customHeight="true" outlineLevel="0" collapsed="false">
      <c r="A275" s="22" t="n">
        <v>64</v>
      </c>
      <c r="B275" s="20" t="n">
        <v>2.08</v>
      </c>
      <c r="D275" s="22" t="n">
        <v>64</v>
      </c>
      <c r="E275" s="20" t="n">
        <v>2.24</v>
      </c>
      <c r="G275" s="22" t="n">
        <v>64</v>
      </c>
      <c r="H275" s="20" t="n">
        <v>2.24</v>
      </c>
    </row>
    <row r="276" customFormat="false" ht="15" hidden="false" customHeight="true" outlineLevel="0" collapsed="false">
      <c r="A276" s="22" t="n">
        <v>66</v>
      </c>
      <c r="B276" s="20" t="n">
        <v>2.34</v>
      </c>
      <c r="D276" s="22" t="n">
        <v>66</v>
      </c>
      <c r="E276" s="20" t="n">
        <v>2.52</v>
      </c>
      <c r="G276" s="22" t="n">
        <v>66</v>
      </c>
      <c r="H276" s="20" t="n">
        <v>2.52</v>
      </c>
    </row>
    <row r="277" customFormat="false" ht="15" hidden="false" customHeight="true" outlineLevel="0" collapsed="false">
      <c r="A277" s="22" t="n">
        <v>68</v>
      </c>
      <c r="B277" s="20" t="n">
        <v>2.34</v>
      </c>
      <c r="D277" s="22" t="n">
        <v>68</v>
      </c>
      <c r="E277" s="20" t="n">
        <v>2.52</v>
      </c>
      <c r="G277" s="22" t="n">
        <v>68</v>
      </c>
      <c r="H277" s="20" t="n">
        <v>2.52</v>
      </c>
    </row>
    <row r="278" customFormat="false" ht="15" hidden="false" customHeight="true" outlineLevel="0" collapsed="false">
      <c r="A278" s="22" t="n">
        <v>70</v>
      </c>
      <c r="B278" s="20" t="n">
        <v>2.6</v>
      </c>
      <c r="D278" s="22" t="n">
        <v>70</v>
      </c>
      <c r="E278" s="20" t="n">
        <v>2.8</v>
      </c>
      <c r="G278" s="22" t="n">
        <v>70</v>
      </c>
      <c r="H278" s="20" t="n">
        <v>2.8</v>
      </c>
    </row>
    <row r="279" customFormat="false" ht="15" hidden="false" customHeight="true" outlineLevel="0" collapsed="false">
      <c r="A279" s="22" t="n">
        <v>72</v>
      </c>
      <c r="B279" s="20" t="n">
        <v>2.6</v>
      </c>
      <c r="D279" s="22" t="n">
        <v>72</v>
      </c>
      <c r="E279" s="20" t="n">
        <v>2.8</v>
      </c>
      <c r="G279" s="22" t="n">
        <v>72</v>
      </c>
      <c r="H279" s="20" t="n">
        <v>2.8</v>
      </c>
    </row>
    <row r="280" customFormat="false" ht="15" hidden="false" customHeight="true" outlineLevel="0" collapsed="false">
      <c r="A280" s="22" t="n">
        <v>74</v>
      </c>
      <c r="B280" s="20" t="n">
        <v>2.86</v>
      </c>
      <c r="D280" s="22" t="n">
        <v>74</v>
      </c>
      <c r="E280" s="20" t="n">
        <v>3.08</v>
      </c>
      <c r="G280" s="22" t="n">
        <v>74</v>
      </c>
      <c r="H280" s="20" t="n">
        <v>3.08</v>
      </c>
    </row>
    <row r="281" customFormat="false" ht="15" hidden="false" customHeight="true" outlineLevel="0" collapsed="false">
      <c r="A281" s="22" t="n">
        <v>76</v>
      </c>
      <c r="B281" s="20" t="n">
        <v>2.86</v>
      </c>
      <c r="D281" s="22" t="n">
        <v>76</v>
      </c>
      <c r="E281" s="20" t="n">
        <v>3.08</v>
      </c>
      <c r="G281" s="22" t="n">
        <v>76</v>
      </c>
      <c r="H281" s="20" t="n">
        <v>3.08</v>
      </c>
    </row>
    <row r="282" customFormat="false" ht="15" hidden="false" customHeight="true" outlineLevel="0" collapsed="false">
      <c r="A282" s="22" t="n">
        <v>78</v>
      </c>
      <c r="B282" s="20" t="n">
        <v>3.12</v>
      </c>
      <c r="D282" s="22" t="n">
        <v>78</v>
      </c>
      <c r="E282" s="20" t="n">
        <v>3.36</v>
      </c>
      <c r="G282" s="22" t="n">
        <v>78</v>
      </c>
      <c r="H282" s="20" t="n">
        <v>3.36</v>
      </c>
    </row>
    <row r="283" customFormat="false" ht="15" hidden="false" customHeight="true" outlineLevel="0" collapsed="false">
      <c r="A283" s="22" t="n">
        <v>80</v>
      </c>
      <c r="B283" s="20" t="n">
        <v>3.12</v>
      </c>
      <c r="D283" s="22" t="n">
        <v>80</v>
      </c>
      <c r="E283" s="20" t="n">
        <v>3.36</v>
      </c>
      <c r="G283" s="22" t="n">
        <v>80</v>
      </c>
      <c r="H283" s="20" t="n">
        <v>3.36</v>
      </c>
    </row>
    <row r="284" customFormat="false" ht="15" hidden="false" customHeight="true" outlineLevel="0" collapsed="false">
      <c r="A284" s="22" t="n">
        <v>82</v>
      </c>
      <c r="B284" s="20" t="n">
        <v>3.38</v>
      </c>
      <c r="D284" s="22" t="n">
        <v>82</v>
      </c>
      <c r="E284" s="20" t="n">
        <v>3.64</v>
      </c>
      <c r="G284" s="22" t="n">
        <v>82</v>
      </c>
      <c r="H284" s="20" t="n">
        <v>3.64</v>
      </c>
    </row>
    <row r="285" customFormat="false" ht="15" hidden="false" customHeight="true" outlineLevel="0" collapsed="false">
      <c r="A285" s="22" t="n">
        <v>84</v>
      </c>
      <c r="B285" s="20" t="n">
        <v>3.38</v>
      </c>
      <c r="D285" s="22" t="n">
        <v>84</v>
      </c>
      <c r="E285" s="20" t="n">
        <v>3.64</v>
      </c>
      <c r="G285" s="22" t="n">
        <v>84</v>
      </c>
      <c r="H285" s="20" t="n">
        <v>3.64</v>
      </c>
    </row>
    <row r="286" customFormat="false" ht="15" hidden="false" customHeight="true" outlineLevel="0" collapsed="false">
      <c r="A286" s="22" t="n">
        <v>86</v>
      </c>
      <c r="B286" s="20" t="n">
        <v>3.64</v>
      </c>
      <c r="D286" s="22" t="n">
        <v>86</v>
      </c>
      <c r="E286" s="20" t="n">
        <v>3.92</v>
      </c>
      <c r="G286" s="22" t="n">
        <v>86</v>
      </c>
      <c r="H286" s="20" t="n">
        <v>3.92</v>
      </c>
    </row>
    <row r="287" customFormat="false" ht="15" hidden="false" customHeight="true" outlineLevel="0" collapsed="false">
      <c r="A287" s="22" t="n">
        <v>88</v>
      </c>
      <c r="B287" s="20" t="n">
        <v>3.64</v>
      </c>
      <c r="D287" s="22" t="n">
        <v>88</v>
      </c>
      <c r="E287" s="20" t="n">
        <v>3.92</v>
      </c>
      <c r="G287" s="22" t="n">
        <v>88</v>
      </c>
      <c r="H287" s="20" t="n">
        <v>3.92</v>
      </c>
    </row>
    <row r="288" customFormat="false" ht="15" hidden="false" customHeight="true" outlineLevel="0" collapsed="false">
      <c r="A288" s="22" t="n">
        <v>90</v>
      </c>
      <c r="B288" s="20" t="n">
        <v>3.9</v>
      </c>
      <c r="D288" s="22" t="n">
        <v>90</v>
      </c>
      <c r="E288" s="20" t="n">
        <v>4.2</v>
      </c>
      <c r="G288" s="22" t="n">
        <v>90</v>
      </c>
      <c r="H288" s="20" t="n">
        <v>4.2</v>
      </c>
    </row>
    <row r="289" customFormat="false" ht="15" hidden="false" customHeight="true" outlineLevel="0" collapsed="false">
      <c r="A289" s="22" t="n">
        <v>92</v>
      </c>
      <c r="B289" s="20" t="n">
        <v>3.9</v>
      </c>
      <c r="D289" s="22" t="n">
        <v>92</v>
      </c>
      <c r="E289" s="20" t="n">
        <v>4.2</v>
      </c>
      <c r="G289" s="22" t="n">
        <v>92</v>
      </c>
      <c r="H289" s="20" t="n">
        <v>4.2</v>
      </c>
    </row>
    <row r="290" customFormat="false" ht="15" hidden="false" customHeight="true" outlineLevel="0" collapsed="false">
      <c r="A290" s="22" t="n">
        <v>94</v>
      </c>
      <c r="B290" s="20" t="n">
        <v>4.16</v>
      </c>
      <c r="D290" s="22" t="n">
        <v>94</v>
      </c>
      <c r="E290" s="20" t="n">
        <v>4.48</v>
      </c>
      <c r="G290" s="22" t="n">
        <v>94</v>
      </c>
      <c r="H290" s="20" t="n">
        <v>4.48</v>
      </c>
    </row>
    <row r="291" customFormat="false" ht="15" hidden="false" customHeight="true" outlineLevel="0" collapsed="false">
      <c r="A291" s="22" t="n">
        <v>96</v>
      </c>
      <c r="B291" s="20" t="n">
        <v>4.16</v>
      </c>
      <c r="D291" s="22" t="n">
        <v>96</v>
      </c>
      <c r="E291" s="20" t="n">
        <v>4.48</v>
      </c>
      <c r="G291" s="22" t="n">
        <v>96</v>
      </c>
      <c r="H291" s="20" t="n">
        <v>4.48</v>
      </c>
    </row>
    <row r="292" customFormat="false" ht="15" hidden="false" customHeight="true" outlineLevel="0" collapsed="false">
      <c r="A292" s="22" t="n">
        <v>98</v>
      </c>
      <c r="B292" s="20" t="n">
        <v>4.42</v>
      </c>
      <c r="D292" s="22" t="n">
        <v>98</v>
      </c>
      <c r="E292" s="20" t="n">
        <v>4.76</v>
      </c>
      <c r="G292" s="22" t="n">
        <v>98</v>
      </c>
      <c r="H292" s="20" t="n">
        <v>4.76</v>
      </c>
    </row>
    <row r="293" customFormat="false" ht="15" hidden="false" customHeight="true" outlineLevel="0" collapsed="false">
      <c r="A293" s="22" t="n">
        <v>100</v>
      </c>
      <c r="B293" s="20" t="n">
        <v>4.42</v>
      </c>
      <c r="D293" s="22" t="n">
        <v>100</v>
      </c>
      <c r="E293" s="20" t="n">
        <v>4.76</v>
      </c>
      <c r="G293" s="22" t="n">
        <v>100</v>
      </c>
      <c r="H293" s="20" t="n">
        <v>4.76</v>
      </c>
    </row>
    <row r="294" customFormat="false" ht="15" hidden="false" customHeight="true" outlineLevel="0" collapsed="false">
      <c r="A294" s="22" t="n">
        <v>102</v>
      </c>
      <c r="B294" s="20" t="n">
        <v>4.68</v>
      </c>
      <c r="D294" s="22" t="n">
        <v>102</v>
      </c>
      <c r="E294" s="20" t="n">
        <v>5.04</v>
      </c>
      <c r="G294" s="22" t="n">
        <v>102</v>
      </c>
      <c r="H294" s="20" t="n">
        <v>5.04</v>
      </c>
    </row>
    <row r="295" customFormat="false" ht="15" hidden="false" customHeight="true" outlineLevel="0" collapsed="false">
      <c r="A295" s="22" t="n">
        <v>104</v>
      </c>
      <c r="B295" s="20" t="n">
        <v>4.68</v>
      </c>
      <c r="D295" s="22" t="n">
        <v>104</v>
      </c>
      <c r="E295" s="20" t="n">
        <v>5.04</v>
      </c>
      <c r="G295" s="22" t="n">
        <v>104</v>
      </c>
      <c r="H295" s="20" t="n">
        <v>5.04</v>
      </c>
    </row>
    <row r="296" customFormat="false" ht="15" hidden="false" customHeight="true" outlineLevel="0" collapsed="false">
      <c r="A296" s="22" t="n">
        <v>106</v>
      </c>
      <c r="B296" s="20" t="n">
        <v>4.94</v>
      </c>
      <c r="D296" s="22" t="n">
        <v>106</v>
      </c>
      <c r="E296" s="20" t="n">
        <v>5.32</v>
      </c>
      <c r="G296" s="22" t="n">
        <v>106</v>
      </c>
      <c r="H296" s="20" t="n">
        <v>5.32</v>
      </c>
    </row>
    <row r="297" customFormat="false" ht="15" hidden="false" customHeight="true" outlineLevel="0" collapsed="false">
      <c r="A297" s="22" t="n">
        <v>108</v>
      </c>
      <c r="B297" s="20" t="n">
        <v>4.94</v>
      </c>
      <c r="D297" s="22" t="n">
        <v>108</v>
      </c>
      <c r="E297" s="20" t="n">
        <v>5.32</v>
      </c>
      <c r="G297" s="22" t="n">
        <v>108</v>
      </c>
      <c r="H297" s="20" t="n">
        <v>5.32</v>
      </c>
    </row>
    <row r="298" customFormat="false" ht="15" hidden="false" customHeight="true" outlineLevel="0" collapsed="false">
      <c r="A298" s="22" t="n">
        <v>110</v>
      </c>
      <c r="B298" s="20" t="n">
        <v>5.2</v>
      </c>
      <c r="D298" s="22" t="n">
        <v>110</v>
      </c>
      <c r="E298" s="20" t="n">
        <v>5.6</v>
      </c>
      <c r="G298" s="22" t="n">
        <v>110</v>
      </c>
      <c r="H298" s="20" t="n">
        <v>5.6</v>
      </c>
    </row>
    <row r="299" customFormat="false" ht="15" hidden="false" customHeight="true" outlineLevel="0" collapsed="false">
      <c r="A299" s="22" t="n">
        <v>112</v>
      </c>
      <c r="B299" s="20" t="n">
        <v>5.2</v>
      </c>
      <c r="D299" s="22" t="n">
        <v>112</v>
      </c>
      <c r="E299" s="20" t="n">
        <v>5.6</v>
      </c>
      <c r="G299" s="22" t="n">
        <v>112</v>
      </c>
      <c r="H299" s="20" t="n">
        <v>5.6</v>
      </c>
    </row>
    <row r="300" customFormat="false" ht="15" hidden="false" customHeight="true" outlineLevel="0" collapsed="false">
      <c r="A300" s="22" t="n">
        <v>114</v>
      </c>
      <c r="B300" s="20" t="n">
        <v>5.46</v>
      </c>
      <c r="D300" s="22" t="n">
        <v>114</v>
      </c>
      <c r="E300" s="20" t="n">
        <v>5.88</v>
      </c>
      <c r="G300" s="22" t="n">
        <v>114</v>
      </c>
      <c r="H300" s="20" t="n">
        <v>5.88</v>
      </c>
    </row>
    <row r="301" customFormat="false" ht="15" hidden="false" customHeight="true" outlineLevel="0" collapsed="false">
      <c r="A301" s="22" t="n">
        <v>116</v>
      </c>
      <c r="B301" s="20" t="n">
        <v>5.46</v>
      </c>
      <c r="D301" s="22" t="n">
        <v>116</v>
      </c>
      <c r="E301" s="20" t="n">
        <v>5.88</v>
      </c>
      <c r="G301" s="22" t="n">
        <v>116</v>
      </c>
      <c r="H301" s="20" t="n">
        <v>5.88</v>
      </c>
    </row>
    <row r="302" customFormat="false" ht="15" hidden="false" customHeight="true" outlineLevel="0" collapsed="false">
      <c r="A302" s="22" t="n">
        <v>118</v>
      </c>
      <c r="B302" s="20" t="n">
        <v>5.72</v>
      </c>
      <c r="D302" s="22" t="n">
        <v>118</v>
      </c>
      <c r="E302" s="20" t="n">
        <v>6.16</v>
      </c>
      <c r="G302" s="22" t="n">
        <v>118</v>
      </c>
      <c r="H302" s="20" t="n">
        <v>6.16</v>
      </c>
    </row>
    <row r="303" customFormat="false" ht="15" hidden="false" customHeight="true" outlineLevel="0" collapsed="false">
      <c r="A303" s="22" t="n">
        <v>120</v>
      </c>
      <c r="B303" s="20" t="n">
        <v>5.72</v>
      </c>
      <c r="D303" s="22" t="n">
        <v>120</v>
      </c>
      <c r="E303" s="20" t="n">
        <v>6.16</v>
      </c>
      <c r="G303" s="22" t="n">
        <v>120</v>
      </c>
      <c r="H303" s="20" t="n">
        <v>6.16</v>
      </c>
    </row>
    <row r="304" customFormat="false" ht="15" hidden="false" customHeight="true" outlineLevel="0" collapsed="false">
      <c r="A304" s="22" t="n">
        <v>122</v>
      </c>
      <c r="B304" s="20" t="n">
        <v>5.98</v>
      </c>
      <c r="D304" s="22" t="n">
        <v>122</v>
      </c>
      <c r="E304" s="20" t="n">
        <v>6.44</v>
      </c>
      <c r="G304" s="22" t="n">
        <v>122</v>
      </c>
      <c r="H304" s="20" t="n">
        <v>6.44</v>
      </c>
    </row>
    <row r="305" customFormat="false" ht="15" hidden="false" customHeight="true" outlineLevel="0" collapsed="false">
      <c r="A305" s="22" t="n">
        <v>124</v>
      </c>
      <c r="B305" s="20" t="n">
        <v>5.98</v>
      </c>
      <c r="D305" s="22" t="n">
        <v>124</v>
      </c>
      <c r="E305" s="20" t="n">
        <v>6.44</v>
      </c>
      <c r="G305" s="22" t="n">
        <v>124</v>
      </c>
      <c r="H305" s="20" t="n">
        <v>6.44</v>
      </c>
    </row>
    <row r="306" customFormat="false" ht="15" hidden="false" customHeight="true" outlineLevel="0" collapsed="false">
      <c r="A306" s="22" t="n">
        <v>126</v>
      </c>
      <c r="B306" s="20" t="n">
        <v>6.24</v>
      </c>
      <c r="D306" s="22" t="n">
        <v>126</v>
      </c>
      <c r="E306" s="20" t="n">
        <v>6.72</v>
      </c>
      <c r="G306" s="22" t="n">
        <v>126</v>
      </c>
      <c r="H306" s="20" t="n">
        <v>6.72</v>
      </c>
    </row>
    <row r="307" customFormat="false" ht="15" hidden="false" customHeight="true" outlineLevel="0" collapsed="false">
      <c r="A307" s="22" t="n">
        <v>128</v>
      </c>
      <c r="B307" s="20" t="n">
        <v>6.24</v>
      </c>
      <c r="D307" s="22" t="n">
        <v>128</v>
      </c>
      <c r="E307" s="20" t="n">
        <v>6.72</v>
      </c>
      <c r="G307" s="22" t="n">
        <v>128</v>
      </c>
      <c r="H307" s="20" t="n">
        <v>6.72</v>
      </c>
    </row>
    <row r="308" customFormat="false" ht="15" hidden="false" customHeight="true" outlineLevel="0" collapsed="false">
      <c r="A308" s="22" t="n">
        <v>130</v>
      </c>
      <c r="B308" s="20" t="n">
        <v>6.5</v>
      </c>
      <c r="D308" s="22" t="n">
        <v>130</v>
      </c>
      <c r="E308" s="20" t="n">
        <v>7</v>
      </c>
      <c r="G308" s="22" t="n">
        <v>130</v>
      </c>
      <c r="H308" s="20" t="n">
        <v>7</v>
      </c>
    </row>
    <row r="309" customFormat="false" ht="15" hidden="false" customHeight="true" outlineLevel="0" collapsed="false">
      <c r="A309" s="22" t="n">
        <v>132</v>
      </c>
      <c r="B309" s="20" t="n">
        <v>6.5</v>
      </c>
      <c r="D309" s="22" t="n">
        <v>132</v>
      </c>
      <c r="E309" s="20" t="n">
        <v>7</v>
      </c>
      <c r="G309" s="22" t="n">
        <v>132</v>
      </c>
      <c r="H309" s="20" t="n">
        <v>7</v>
      </c>
    </row>
    <row r="310" customFormat="false" ht="15" hidden="false" customHeight="true" outlineLevel="0" collapsed="false">
      <c r="A310" s="22" t="n">
        <v>134</v>
      </c>
      <c r="B310" s="20" t="n">
        <v>6.76</v>
      </c>
      <c r="D310" s="22" t="n">
        <v>134</v>
      </c>
      <c r="E310" s="20" t="n">
        <v>7.28</v>
      </c>
      <c r="G310" s="22" t="n">
        <v>134</v>
      </c>
      <c r="H310" s="20" t="n">
        <v>7.28</v>
      </c>
    </row>
    <row r="311" customFormat="false" ht="15" hidden="false" customHeight="true" outlineLevel="0" collapsed="false">
      <c r="A311" s="22" t="n">
        <v>136</v>
      </c>
      <c r="B311" s="20" t="n">
        <v>6.76</v>
      </c>
      <c r="D311" s="22" t="n">
        <v>136</v>
      </c>
      <c r="E311" s="20" t="n">
        <v>7.28</v>
      </c>
      <c r="G311" s="22" t="n">
        <v>136</v>
      </c>
      <c r="H311" s="20" t="n">
        <v>7.28</v>
      </c>
    </row>
    <row r="312" customFormat="false" ht="15" hidden="false" customHeight="true" outlineLevel="0" collapsed="false">
      <c r="A312" s="22" t="n">
        <v>138</v>
      </c>
      <c r="B312" s="20" t="n">
        <v>7.02</v>
      </c>
      <c r="D312" s="22" t="n">
        <v>138</v>
      </c>
      <c r="E312" s="20" t="n">
        <v>7.56</v>
      </c>
      <c r="G312" s="22" t="n">
        <v>138</v>
      </c>
      <c r="H312" s="20" t="n">
        <v>7.56</v>
      </c>
    </row>
    <row r="313" customFormat="false" ht="15" hidden="false" customHeight="true" outlineLevel="0" collapsed="false">
      <c r="A313" s="22" t="n">
        <v>140</v>
      </c>
      <c r="B313" s="20" t="n">
        <v>7.02</v>
      </c>
      <c r="D313" s="22" t="n">
        <v>140</v>
      </c>
      <c r="E313" s="20" t="n">
        <v>7.56</v>
      </c>
      <c r="G313" s="22" t="n">
        <v>140</v>
      </c>
      <c r="H313" s="20" t="n">
        <v>7.56</v>
      </c>
    </row>
    <row r="314" customFormat="false" ht="15" hidden="false" customHeight="true" outlineLevel="0" collapsed="false">
      <c r="A314" s="22" t="n">
        <v>142</v>
      </c>
      <c r="B314" s="20" t="n">
        <v>7.28</v>
      </c>
      <c r="D314" s="22" t="n">
        <v>142</v>
      </c>
      <c r="E314" s="20" t="n">
        <v>7.84</v>
      </c>
      <c r="G314" s="22" t="n">
        <v>142</v>
      </c>
      <c r="H314" s="20" t="n">
        <v>7.84</v>
      </c>
    </row>
    <row r="315" customFormat="false" ht="15" hidden="false" customHeight="true" outlineLevel="0" collapsed="false">
      <c r="A315" s="22" t="n">
        <v>144</v>
      </c>
      <c r="B315" s="20" t="n">
        <v>7.28</v>
      </c>
      <c r="D315" s="22" t="n">
        <v>144</v>
      </c>
      <c r="E315" s="20" t="n">
        <v>7.84</v>
      </c>
      <c r="G315" s="22" t="n">
        <v>144</v>
      </c>
      <c r="H315" s="20" t="n">
        <v>7.84</v>
      </c>
    </row>
    <row r="316" customFormat="false" ht="15" hidden="false" customHeight="true" outlineLevel="0" collapsed="false">
      <c r="A316" s="22" t="n">
        <v>146</v>
      </c>
      <c r="B316" s="20" t="n">
        <v>7.54</v>
      </c>
      <c r="D316" s="22" t="n">
        <v>146</v>
      </c>
      <c r="E316" s="20" t="n">
        <v>8.12</v>
      </c>
      <c r="G316" s="22" t="n">
        <v>146</v>
      </c>
      <c r="H316" s="20" t="n">
        <v>8.12</v>
      </c>
    </row>
    <row r="317" customFormat="false" ht="15" hidden="false" customHeight="true" outlineLevel="0" collapsed="false">
      <c r="A317" s="22" t="n">
        <v>148</v>
      </c>
      <c r="B317" s="20" t="n">
        <v>7.54</v>
      </c>
      <c r="D317" s="22" t="n">
        <v>148</v>
      </c>
      <c r="E317" s="20" t="n">
        <v>8.12</v>
      </c>
      <c r="G317" s="22" t="n">
        <v>148</v>
      </c>
      <c r="H317" s="20" t="n">
        <v>8.12</v>
      </c>
    </row>
    <row r="318" customFormat="false" ht="15" hidden="false" customHeight="true" outlineLevel="0" collapsed="false">
      <c r="A318" s="22" t="n">
        <v>150</v>
      </c>
      <c r="B318" s="20" t="n">
        <v>7.8</v>
      </c>
      <c r="D318" s="22" t="n">
        <v>150</v>
      </c>
      <c r="E318" s="20" t="n">
        <v>8.4</v>
      </c>
      <c r="G318" s="22" t="n">
        <v>150</v>
      </c>
      <c r="H318" s="20" t="n">
        <v>8.4</v>
      </c>
    </row>
    <row r="319" customFormat="false" ht="15" hidden="false" customHeight="true" outlineLevel="0" collapsed="false">
      <c r="A319" s="22" t="n">
        <v>152</v>
      </c>
      <c r="B319" s="20" t="n">
        <v>7.8</v>
      </c>
      <c r="D319" s="22" t="n">
        <v>152</v>
      </c>
      <c r="E319" s="20" t="n">
        <v>8.4</v>
      </c>
      <c r="G319" s="22" t="n">
        <v>152</v>
      </c>
      <c r="H319" s="20" t="n">
        <v>8.4</v>
      </c>
    </row>
    <row r="320" customFormat="false" ht="15" hidden="false" customHeight="true" outlineLevel="0" collapsed="false">
      <c r="A320" s="22" t="n">
        <v>154</v>
      </c>
      <c r="B320" s="20" t="n">
        <v>8.06</v>
      </c>
      <c r="D320" s="22" t="n">
        <v>154</v>
      </c>
      <c r="E320" s="20" t="n">
        <v>8.68</v>
      </c>
      <c r="G320" s="22" t="n">
        <v>154</v>
      </c>
      <c r="H320" s="20" t="n">
        <v>8.68</v>
      </c>
    </row>
    <row r="321" customFormat="false" ht="15" hidden="false" customHeight="true" outlineLevel="0" collapsed="false">
      <c r="A321" s="22" t="n">
        <v>156</v>
      </c>
      <c r="B321" s="20" t="n">
        <v>8.06</v>
      </c>
      <c r="D321" s="22" t="n">
        <v>156</v>
      </c>
      <c r="E321" s="20" t="n">
        <v>8.68</v>
      </c>
      <c r="G321" s="22" t="n">
        <v>156</v>
      </c>
      <c r="H321" s="20" t="n">
        <v>8.68</v>
      </c>
    </row>
    <row r="322" customFormat="false" ht="15" hidden="false" customHeight="true" outlineLevel="0" collapsed="false">
      <c r="A322" s="22" t="n">
        <v>158</v>
      </c>
      <c r="B322" s="20" t="n">
        <v>8.32</v>
      </c>
      <c r="D322" s="22" t="n">
        <v>158</v>
      </c>
      <c r="E322" s="20" t="n">
        <v>8.96</v>
      </c>
      <c r="G322" s="22" t="n">
        <v>158</v>
      </c>
      <c r="H322" s="20" t="n">
        <v>8.96</v>
      </c>
    </row>
    <row r="323" customFormat="false" ht="15" hidden="false" customHeight="true" outlineLevel="0" collapsed="false">
      <c r="A323" s="22" t="n">
        <v>160</v>
      </c>
      <c r="B323" s="20" t="n">
        <v>8.32</v>
      </c>
      <c r="D323" s="22" t="n">
        <v>160</v>
      </c>
      <c r="E323" s="20" t="n">
        <v>8.96</v>
      </c>
      <c r="G323" s="22" t="n">
        <v>160</v>
      </c>
      <c r="H323" s="20" t="n">
        <v>8.96</v>
      </c>
    </row>
    <row r="324" customFormat="false" ht="15" hidden="false" customHeight="true" outlineLevel="0" collapsed="false">
      <c r="A324" s="22" t="n">
        <v>162</v>
      </c>
      <c r="B324" s="20" t="n">
        <v>8.58</v>
      </c>
      <c r="D324" s="22" t="n">
        <v>162</v>
      </c>
      <c r="E324" s="20" t="n">
        <v>9.24</v>
      </c>
      <c r="G324" s="22" t="n">
        <v>162</v>
      </c>
      <c r="H324" s="20" t="n">
        <v>9.24</v>
      </c>
    </row>
    <row r="325" customFormat="false" ht="15" hidden="false" customHeight="true" outlineLevel="0" collapsed="false">
      <c r="A325" s="22" t="n">
        <v>164</v>
      </c>
      <c r="B325" s="20" t="n">
        <v>8.58</v>
      </c>
      <c r="D325" s="22" t="n">
        <v>164</v>
      </c>
      <c r="E325" s="20" t="n">
        <v>9.24</v>
      </c>
      <c r="G325" s="22" t="n">
        <v>164</v>
      </c>
      <c r="H325" s="20" t="n">
        <v>9.24</v>
      </c>
    </row>
    <row r="326" customFormat="false" ht="15" hidden="false" customHeight="true" outlineLevel="0" collapsed="false">
      <c r="A326" s="22" t="n">
        <v>166</v>
      </c>
      <c r="B326" s="20" t="n">
        <v>8.84</v>
      </c>
      <c r="D326" s="22" t="n">
        <v>166</v>
      </c>
      <c r="E326" s="20" t="n">
        <v>9.52</v>
      </c>
      <c r="G326" s="22" t="n">
        <v>166</v>
      </c>
      <c r="H326" s="20" t="n">
        <v>9.52</v>
      </c>
    </row>
    <row r="327" customFormat="false" ht="15" hidden="false" customHeight="true" outlineLevel="0" collapsed="false">
      <c r="A327" s="22" t="n">
        <v>168</v>
      </c>
      <c r="B327" s="20" t="n">
        <v>8.84</v>
      </c>
      <c r="D327" s="22" t="n">
        <v>168</v>
      </c>
      <c r="E327" s="20" t="n">
        <v>9.52</v>
      </c>
      <c r="G327" s="22" t="n">
        <v>168</v>
      </c>
      <c r="H327" s="20" t="n">
        <v>9.52</v>
      </c>
    </row>
    <row r="328" customFormat="false" ht="15" hidden="false" customHeight="true" outlineLevel="0" collapsed="false">
      <c r="A328" s="22" t="n">
        <v>170</v>
      </c>
      <c r="B328" s="20" t="n">
        <v>9.1</v>
      </c>
      <c r="D328" s="22" t="n">
        <v>170</v>
      </c>
      <c r="E328" s="20" t="n">
        <v>9.8</v>
      </c>
      <c r="G328" s="22" t="n">
        <v>170</v>
      </c>
      <c r="H328" s="20" t="n">
        <v>9.8</v>
      </c>
    </row>
    <row r="329" customFormat="false" ht="15" hidden="false" customHeight="true" outlineLevel="0" collapsed="false">
      <c r="A329" s="22" t="n">
        <v>172</v>
      </c>
      <c r="B329" s="20" t="n">
        <v>9.1</v>
      </c>
      <c r="D329" s="22" t="n">
        <v>172</v>
      </c>
      <c r="E329" s="20" t="n">
        <v>9.8</v>
      </c>
      <c r="G329" s="22" t="n">
        <v>172</v>
      </c>
      <c r="H329" s="20" t="n">
        <v>9.8</v>
      </c>
    </row>
    <row r="330" customFormat="false" ht="15" hidden="false" customHeight="true" outlineLevel="0" collapsed="false">
      <c r="A330" s="22" t="n">
        <v>174</v>
      </c>
      <c r="B330" s="20" t="n">
        <v>9.36</v>
      </c>
      <c r="D330" s="22" t="n">
        <v>174</v>
      </c>
      <c r="E330" s="20" t="n">
        <v>10.08</v>
      </c>
      <c r="G330" s="22" t="n">
        <v>174</v>
      </c>
      <c r="H330" s="20" t="n">
        <v>10.08</v>
      </c>
    </row>
    <row r="331" customFormat="false" ht="15" hidden="false" customHeight="true" outlineLevel="0" collapsed="false">
      <c r="A331" s="22" t="n">
        <v>176</v>
      </c>
      <c r="B331" s="20" t="n">
        <v>9.36</v>
      </c>
      <c r="D331" s="22" t="n">
        <v>176</v>
      </c>
      <c r="E331" s="20" t="n">
        <v>10.08</v>
      </c>
      <c r="G331" s="22" t="n">
        <v>176</v>
      </c>
      <c r="H331" s="20" t="n">
        <v>10.08</v>
      </c>
    </row>
    <row r="332" customFormat="false" ht="15" hidden="false" customHeight="true" outlineLevel="0" collapsed="false">
      <c r="A332" s="22" t="n">
        <v>178</v>
      </c>
      <c r="B332" s="20" t="n">
        <v>9.62</v>
      </c>
      <c r="D332" s="22" t="n">
        <v>178</v>
      </c>
      <c r="E332" s="20" t="n">
        <v>10.36</v>
      </c>
      <c r="G332" s="22" t="n">
        <v>178</v>
      </c>
      <c r="H332" s="20" t="n">
        <v>10.36</v>
      </c>
    </row>
    <row r="333" customFormat="false" ht="15" hidden="false" customHeight="true" outlineLevel="0" collapsed="false">
      <c r="A333" s="22" t="n">
        <v>180</v>
      </c>
      <c r="B333" s="20" t="n">
        <v>9.62</v>
      </c>
      <c r="D333" s="22" t="n">
        <v>180</v>
      </c>
      <c r="E333" s="20" t="n">
        <v>10.36</v>
      </c>
      <c r="G333" s="22" t="n">
        <v>180</v>
      </c>
      <c r="H333" s="20" t="n">
        <v>10.36</v>
      </c>
    </row>
    <row r="334" customFormat="false" ht="15" hidden="false" customHeight="true" outlineLevel="0" collapsed="false">
      <c r="A334" s="22" t="n">
        <v>182</v>
      </c>
      <c r="B334" s="20" t="n">
        <v>9.88</v>
      </c>
      <c r="D334" s="22" t="n">
        <v>182</v>
      </c>
      <c r="E334" s="20" t="n">
        <v>10.64</v>
      </c>
      <c r="G334" s="22" t="n">
        <v>182</v>
      </c>
      <c r="H334" s="20" t="n">
        <v>10.64</v>
      </c>
    </row>
    <row r="335" customFormat="false" ht="15" hidden="false" customHeight="true" outlineLevel="0" collapsed="false">
      <c r="A335" s="22" t="n">
        <v>184</v>
      </c>
      <c r="B335" s="20" t="n">
        <v>9.88</v>
      </c>
      <c r="D335" s="22" t="n">
        <v>184</v>
      </c>
      <c r="E335" s="20" t="n">
        <v>10.64</v>
      </c>
      <c r="G335" s="22" t="n">
        <v>184</v>
      </c>
      <c r="H335" s="20" t="n">
        <v>10.64</v>
      </c>
    </row>
    <row r="336" customFormat="false" ht="15" hidden="false" customHeight="true" outlineLevel="0" collapsed="false">
      <c r="A336" s="22" t="n">
        <v>186</v>
      </c>
      <c r="B336" s="20" t="n">
        <v>10.14</v>
      </c>
      <c r="D336" s="22" t="n">
        <v>186</v>
      </c>
      <c r="E336" s="20" t="n">
        <v>10.92</v>
      </c>
      <c r="G336" s="22" t="n">
        <v>186</v>
      </c>
      <c r="H336" s="20" t="n">
        <v>10.92</v>
      </c>
    </row>
    <row r="337" customFormat="false" ht="15" hidden="false" customHeight="true" outlineLevel="0" collapsed="false">
      <c r="A337" s="22" t="n">
        <v>188</v>
      </c>
      <c r="B337" s="20" t="n">
        <v>10.14</v>
      </c>
      <c r="D337" s="22" t="n">
        <v>188</v>
      </c>
      <c r="E337" s="20" t="n">
        <v>10.92</v>
      </c>
      <c r="G337" s="22" t="n">
        <v>188</v>
      </c>
      <c r="H337" s="20" t="n">
        <v>10.92</v>
      </c>
    </row>
    <row r="338" customFormat="false" ht="15" hidden="false" customHeight="true" outlineLevel="0" collapsed="false">
      <c r="A338" s="22" t="n">
        <v>190</v>
      </c>
      <c r="B338" s="20" t="n">
        <v>10.4</v>
      </c>
      <c r="D338" s="22" t="n">
        <v>190</v>
      </c>
      <c r="E338" s="20" t="n">
        <v>11.2</v>
      </c>
      <c r="G338" s="22" t="n">
        <v>190</v>
      </c>
      <c r="H338" s="20" t="n">
        <v>11.2</v>
      </c>
    </row>
    <row r="339" customFormat="false" ht="15" hidden="false" customHeight="true" outlineLevel="0" collapsed="false">
      <c r="A339" s="22" t="n">
        <v>192</v>
      </c>
      <c r="B339" s="20" t="n">
        <v>10.4</v>
      </c>
      <c r="D339" s="22" t="n">
        <v>192</v>
      </c>
      <c r="E339" s="20" t="n">
        <v>11.2</v>
      </c>
      <c r="G339" s="22" t="n">
        <v>192</v>
      </c>
      <c r="H339" s="20" t="n">
        <v>11.2</v>
      </c>
    </row>
    <row r="340" customFormat="false" ht="15" hidden="false" customHeight="true" outlineLevel="0" collapsed="false">
      <c r="A340" s="22" t="n">
        <v>194</v>
      </c>
      <c r="B340" s="20" t="n">
        <v>10.66</v>
      </c>
      <c r="D340" s="22" t="n">
        <v>194</v>
      </c>
      <c r="E340" s="20" t="n">
        <v>11.48</v>
      </c>
      <c r="G340" s="22" t="n">
        <v>194</v>
      </c>
      <c r="H340" s="20" t="n">
        <v>11.48</v>
      </c>
    </row>
    <row r="341" customFormat="false" ht="15" hidden="false" customHeight="true" outlineLevel="0" collapsed="false">
      <c r="A341" s="22" t="n">
        <v>196</v>
      </c>
      <c r="B341" s="20" t="n">
        <v>10.66</v>
      </c>
      <c r="D341" s="22" t="n">
        <v>196</v>
      </c>
      <c r="E341" s="20" t="n">
        <v>11.48</v>
      </c>
      <c r="G341" s="22" t="n">
        <v>196</v>
      </c>
      <c r="H341" s="20" t="n">
        <v>11.48</v>
      </c>
    </row>
    <row r="342" customFormat="false" ht="15" hidden="false" customHeight="true" outlineLevel="0" collapsed="false">
      <c r="A342" s="22" t="n">
        <v>198</v>
      </c>
      <c r="B342" s="20" t="n">
        <v>10.92</v>
      </c>
      <c r="D342" s="22" t="n">
        <v>198</v>
      </c>
      <c r="E342" s="20" t="n">
        <v>11.76</v>
      </c>
      <c r="G342" s="22" t="n">
        <v>198</v>
      </c>
      <c r="H342" s="20" t="n">
        <v>11.76</v>
      </c>
    </row>
    <row r="343" customFormat="false" ht="15" hidden="false" customHeight="true" outlineLevel="0" collapsed="false">
      <c r="A343" s="22" t="n">
        <v>200</v>
      </c>
      <c r="B343" s="20" t="n">
        <v>10.92</v>
      </c>
      <c r="D343" s="22" t="n">
        <v>200</v>
      </c>
      <c r="E343" s="20" t="n">
        <v>11.76</v>
      </c>
      <c r="G343" s="22" t="n">
        <v>200</v>
      </c>
      <c r="H343" s="20" t="n">
        <v>11.76</v>
      </c>
    </row>
    <row r="344" customFormat="false" ht="15" hidden="false" customHeight="true" outlineLevel="0" collapsed="false">
      <c r="A344" s="22" t="n">
        <v>202</v>
      </c>
      <c r="B344" s="20" t="n">
        <v>11.18</v>
      </c>
      <c r="D344" s="22" t="n">
        <v>202</v>
      </c>
      <c r="E344" s="20" t="n">
        <v>12.04</v>
      </c>
      <c r="G344" s="22" t="n">
        <v>202</v>
      </c>
      <c r="H344" s="20" t="n">
        <v>12.04</v>
      </c>
    </row>
    <row r="345" customFormat="false" ht="15" hidden="false" customHeight="true" outlineLevel="0" collapsed="false">
      <c r="A345" s="22" t="n">
        <v>204</v>
      </c>
      <c r="B345" s="20" t="n">
        <v>11.18</v>
      </c>
      <c r="D345" s="22" t="n">
        <v>204</v>
      </c>
      <c r="E345" s="20" t="n">
        <v>12.04</v>
      </c>
      <c r="G345" s="22" t="n">
        <v>204</v>
      </c>
      <c r="H345" s="20" t="n">
        <v>12.04</v>
      </c>
    </row>
    <row r="346" customFormat="false" ht="15" hidden="false" customHeight="true" outlineLevel="0" collapsed="false">
      <c r="A346" s="22" t="n">
        <v>206</v>
      </c>
      <c r="B346" s="20" t="n">
        <v>11.44</v>
      </c>
      <c r="D346" s="22" t="n">
        <v>206</v>
      </c>
      <c r="E346" s="20" t="n">
        <v>12.32</v>
      </c>
      <c r="G346" s="22" t="n">
        <v>206</v>
      </c>
      <c r="H346" s="20" t="n">
        <v>12.32</v>
      </c>
    </row>
    <row r="347" customFormat="false" ht="15" hidden="false" customHeight="true" outlineLevel="0" collapsed="false">
      <c r="A347" s="22" t="n">
        <v>208</v>
      </c>
      <c r="B347" s="20" t="n">
        <v>11.44</v>
      </c>
      <c r="D347" s="22" t="n">
        <v>208</v>
      </c>
      <c r="E347" s="20" t="n">
        <v>12.32</v>
      </c>
      <c r="G347" s="22" t="n">
        <v>208</v>
      </c>
      <c r="H347" s="20" t="n">
        <v>12.32</v>
      </c>
    </row>
    <row r="348" customFormat="false" ht="15" hidden="false" customHeight="true" outlineLevel="0" collapsed="false">
      <c r="A348" s="22" t="n">
        <v>210</v>
      </c>
      <c r="B348" s="20" t="n">
        <v>11.7</v>
      </c>
      <c r="D348" s="22" t="n">
        <v>210</v>
      </c>
      <c r="E348" s="20" t="n">
        <v>12.6</v>
      </c>
      <c r="G348" s="22" t="n">
        <v>210</v>
      </c>
      <c r="H348" s="20" t="n">
        <v>12.6</v>
      </c>
    </row>
    <row r="349" customFormat="false" ht="15" hidden="false" customHeight="true" outlineLevel="0" collapsed="false">
      <c r="A349" s="22" t="n">
        <v>212</v>
      </c>
      <c r="B349" s="20" t="n">
        <v>11.7</v>
      </c>
      <c r="D349" s="22" t="n">
        <v>212</v>
      </c>
      <c r="E349" s="20" t="n">
        <v>12.6</v>
      </c>
      <c r="G349" s="22" t="n">
        <v>212</v>
      </c>
      <c r="H349" s="20" t="n">
        <v>12.6</v>
      </c>
    </row>
    <row r="350" customFormat="false" ht="15" hidden="false" customHeight="true" outlineLevel="0" collapsed="false">
      <c r="A350" s="22" t="n">
        <v>214</v>
      </c>
      <c r="B350" s="20" t="n">
        <v>11.96</v>
      </c>
      <c r="D350" s="22" t="n">
        <v>214</v>
      </c>
      <c r="E350" s="20" t="n">
        <v>12.88</v>
      </c>
      <c r="G350" s="22" t="n">
        <v>214</v>
      </c>
      <c r="H350" s="20" t="n">
        <v>12.88</v>
      </c>
    </row>
    <row r="351" customFormat="false" ht="15" hidden="false" customHeight="true" outlineLevel="0" collapsed="false">
      <c r="A351" s="22" t="n">
        <v>216</v>
      </c>
      <c r="B351" s="20" t="n">
        <v>11.96</v>
      </c>
      <c r="D351" s="22" t="n">
        <v>216</v>
      </c>
      <c r="E351" s="20" t="n">
        <v>12.88</v>
      </c>
      <c r="G351" s="22" t="n">
        <v>216</v>
      </c>
      <c r="H351" s="20" t="n">
        <v>12.88</v>
      </c>
    </row>
    <row r="352" customFormat="false" ht="15" hidden="false" customHeight="true" outlineLevel="0" collapsed="false">
      <c r="A352" s="22" t="n">
        <v>218</v>
      </c>
      <c r="B352" s="20" t="n">
        <v>12.22</v>
      </c>
      <c r="D352" s="22" t="n">
        <v>218</v>
      </c>
      <c r="E352" s="20" t="n">
        <v>13.16</v>
      </c>
      <c r="G352" s="22" t="n">
        <v>218</v>
      </c>
      <c r="H352" s="20" t="n">
        <v>13.16</v>
      </c>
    </row>
    <row r="353" customFormat="false" ht="15" hidden="false" customHeight="true" outlineLevel="0" collapsed="false">
      <c r="A353" s="22" t="n">
        <v>220</v>
      </c>
      <c r="B353" s="20" t="n">
        <v>12.22</v>
      </c>
      <c r="D353" s="22" t="n">
        <v>220</v>
      </c>
      <c r="E353" s="20" t="n">
        <v>13.16</v>
      </c>
      <c r="G353" s="22" t="n">
        <v>220</v>
      </c>
      <c r="H353" s="20" t="n">
        <v>13.16</v>
      </c>
    </row>
    <row r="354" customFormat="false" ht="15" hidden="false" customHeight="true" outlineLevel="0" collapsed="false">
      <c r="A354" s="22" t="n">
        <v>222</v>
      </c>
      <c r="B354" s="20" t="n">
        <v>12.48</v>
      </c>
      <c r="D354" s="22" t="n">
        <v>222</v>
      </c>
      <c r="E354" s="20" t="n">
        <v>13.44</v>
      </c>
      <c r="G354" s="22" t="n">
        <v>222</v>
      </c>
      <c r="H354" s="20" t="n">
        <v>13.44</v>
      </c>
    </row>
    <row r="355" customFormat="false" ht="15" hidden="false" customHeight="true" outlineLevel="0" collapsed="false">
      <c r="A355" s="22" t="n">
        <v>224</v>
      </c>
      <c r="B355" s="20" t="n">
        <v>12.48</v>
      </c>
      <c r="D355" s="22" t="n">
        <v>224</v>
      </c>
      <c r="E355" s="20" t="n">
        <v>13.44</v>
      </c>
      <c r="G355" s="22" t="n">
        <v>224</v>
      </c>
      <c r="H355" s="20" t="n">
        <v>13.44</v>
      </c>
    </row>
    <row r="356" customFormat="false" ht="15" hidden="false" customHeight="true" outlineLevel="0" collapsed="false">
      <c r="A356" s="22" t="n">
        <v>226</v>
      </c>
      <c r="B356" s="20" t="n">
        <v>12.74</v>
      </c>
      <c r="D356" s="22" t="n">
        <v>226</v>
      </c>
      <c r="E356" s="20" t="n">
        <v>13.72</v>
      </c>
      <c r="G356" s="22" t="n">
        <v>226</v>
      </c>
      <c r="H356" s="20" t="n">
        <v>13.72</v>
      </c>
    </row>
    <row r="357" customFormat="false" ht="15" hidden="false" customHeight="true" outlineLevel="0" collapsed="false">
      <c r="A357" s="22" t="n">
        <v>228</v>
      </c>
      <c r="B357" s="20" t="n">
        <v>12.74</v>
      </c>
      <c r="D357" s="22" t="n">
        <v>228</v>
      </c>
      <c r="E357" s="20" t="n">
        <v>13.72</v>
      </c>
      <c r="G357" s="22" t="n">
        <v>228</v>
      </c>
      <c r="H357" s="20" t="n">
        <v>13.72</v>
      </c>
    </row>
    <row r="358" customFormat="false" ht="15" hidden="false" customHeight="true" outlineLevel="0" collapsed="false">
      <c r="A358" s="22" t="n">
        <v>230</v>
      </c>
      <c r="B358" s="20" t="n">
        <v>13</v>
      </c>
      <c r="D358" s="22" t="n">
        <v>230</v>
      </c>
      <c r="E358" s="20" t="n">
        <v>14</v>
      </c>
      <c r="G358" s="22" t="n">
        <v>230</v>
      </c>
      <c r="H358" s="20" t="n">
        <v>14</v>
      </c>
    </row>
    <row r="359" customFormat="false" ht="15" hidden="false" customHeight="true" outlineLevel="0" collapsed="false">
      <c r="A359" s="22" t="n">
        <v>232</v>
      </c>
      <c r="B359" s="20" t="n">
        <v>13</v>
      </c>
      <c r="D359" s="22" t="n">
        <v>232</v>
      </c>
      <c r="E359" s="20" t="n">
        <v>14</v>
      </c>
      <c r="G359" s="22" t="n">
        <v>232</v>
      </c>
      <c r="H359" s="20" t="n">
        <v>14</v>
      </c>
    </row>
    <row r="360" customFormat="false" ht="15" hidden="false" customHeight="true" outlineLevel="0" collapsed="false">
      <c r="A360" s="22" t="n">
        <v>234</v>
      </c>
      <c r="B360" s="20" t="n">
        <v>13.26</v>
      </c>
      <c r="D360" s="22" t="n">
        <v>234</v>
      </c>
      <c r="E360" s="20" t="n">
        <v>14.28</v>
      </c>
      <c r="G360" s="22" t="n">
        <v>234</v>
      </c>
      <c r="H360" s="20" t="n">
        <v>14.28</v>
      </c>
    </row>
    <row r="361" customFormat="false" ht="15" hidden="false" customHeight="true" outlineLevel="0" collapsed="false">
      <c r="A361" s="22" t="n">
        <v>236</v>
      </c>
      <c r="B361" s="20" t="n">
        <v>13.26</v>
      </c>
      <c r="D361" s="22" t="n">
        <v>236</v>
      </c>
      <c r="E361" s="20" t="n">
        <v>14.28</v>
      </c>
      <c r="G361" s="22" t="n">
        <v>236</v>
      </c>
      <c r="H361" s="20" t="n">
        <v>14.28</v>
      </c>
    </row>
    <row r="362" customFormat="false" ht="15" hidden="false" customHeight="true" outlineLevel="0" collapsed="false">
      <c r="A362" s="22" t="n">
        <v>238</v>
      </c>
      <c r="B362" s="20" t="n">
        <v>13.52</v>
      </c>
      <c r="D362" s="22" t="n">
        <v>238</v>
      </c>
      <c r="E362" s="20" t="n">
        <v>14.56</v>
      </c>
      <c r="G362" s="22" t="n">
        <v>238</v>
      </c>
      <c r="H362" s="20" t="n">
        <v>14.56</v>
      </c>
    </row>
    <row r="363" customFormat="false" ht="15" hidden="false" customHeight="true" outlineLevel="0" collapsed="false">
      <c r="A363" s="22" t="n">
        <v>240</v>
      </c>
      <c r="B363" s="20" t="n">
        <v>13.52</v>
      </c>
      <c r="D363" s="22" t="n">
        <v>240</v>
      </c>
      <c r="E363" s="20" t="n">
        <v>14.56</v>
      </c>
      <c r="G363" s="22" t="n">
        <v>240</v>
      </c>
      <c r="H363" s="20" t="n">
        <v>14.56</v>
      </c>
    </row>
    <row r="364" customFormat="false" ht="15" hidden="false" customHeight="true" outlineLevel="0" collapsed="false">
      <c r="A364" s="22" t="n">
        <v>242</v>
      </c>
      <c r="B364" s="20" t="n">
        <v>13.78</v>
      </c>
      <c r="D364" s="22" t="n">
        <v>242</v>
      </c>
      <c r="E364" s="20" t="n">
        <v>14.84</v>
      </c>
      <c r="G364" s="22" t="n">
        <v>242</v>
      </c>
      <c r="H364" s="20" t="n">
        <v>14.84</v>
      </c>
    </row>
    <row r="365" customFormat="false" ht="15" hidden="false" customHeight="true" outlineLevel="0" collapsed="false">
      <c r="A365" s="22" t="n">
        <v>244</v>
      </c>
      <c r="B365" s="20" t="n">
        <v>13.78</v>
      </c>
      <c r="D365" s="22" t="n">
        <v>244</v>
      </c>
      <c r="E365" s="20" t="n">
        <v>14.84</v>
      </c>
      <c r="G365" s="22" t="n">
        <v>244</v>
      </c>
      <c r="H365" s="20" t="n">
        <v>14.84</v>
      </c>
    </row>
    <row r="366" customFormat="false" ht="15" hidden="false" customHeight="true" outlineLevel="0" collapsed="false">
      <c r="A366" s="22" t="n">
        <v>246</v>
      </c>
      <c r="B366" s="20" t="n">
        <v>14.04</v>
      </c>
      <c r="D366" s="22" t="n">
        <v>246</v>
      </c>
      <c r="E366" s="20" t="n">
        <v>15.12</v>
      </c>
      <c r="G366" s="22" t="n">
        <v>246</v>
      </c>
      <c r="H366" s="20" t="n">
        <v>15.12</v>
      </c>
    </row>
    <row r="367" customFormat="false" ht="15" hidden="false" customHeight="true" outlineLevel="0" collapsed="false">
      <c r="A367" s="22" t="n">
        <v>248</v>
      </c>
      <c r="B367" s="20" t="n">
        <v>14.04</v>
      </c>
      <c r="D367" s="22" t="n">
        <v>248</v>
      </c>
      <c r="E367" s="20" t="n">
        <v>15.12</v>
      </c>
      <c r="G367" s="22" t="n">
        <v>248</v>
      </c>
      <c r="H367" s="20" t="n">
        <v>15.12</v>
      </c>
    </row>
    <row r="368" customFormat="false" ht="15" hidden="false" customHeight="true" outlineLevel="0" collapsed="false">
      <c r="A368" s="22" t="n">
        <v>250</v>
      </c>
      <c r="B368" s="20" t="n">
        <v>14.3</v>
      </c>
      <c r="D368" s="22" t="n">
        <v>250</v>
      </c>
      <c r="E368" s="20" t="n">
        <v>15.4</v>
      </c>
      <c r="G368" s="22" t="n">
        <v>250</v>
      </c>
      <c r="H368" s="20" t="n">
        <v>15.4</v>
      </c>
    </row>
    <row r="369" customFormat="false" ht="15" hidden="false" customHeight="true" outlineLevel="0" collapsed="false">
      <c r="A369" s="22" t="n">
        <v>252</v>
      </c>
      <c r="B369" s="20" t="n">
        <v>14.3</v>
      </c>
      <c r="D369" s="22" t="n">
        <v>252</v>
      </c>
      <c r="E369" s="20" t="n">
        <v>15.4</v>
      </c>
      <c r="G369" s="22" t="n">
        <v>252</v>
      </c>
      <c r="H369" s="20" t="n">
        <v>15.4</v>
      </c>
    </row>
    <row r="370" customFormat="false" ht="15" hidden="false" customHeight="true" outlineLevel="0" collapsed="false">
      <c r="A370" s="22" t="n">
        <v>254</v>
      </c>
      <c r="B370" s="20" t="n">
        <v>14.56</v>
      </c>
      <c r="D370" s="22" t="n">
        <v>254</v>
      </c>
      <c r="E370" s="20" t="n">
        <v>15.68</v>
      </c>
      <c r="G370" s="22" t="n">
        <v>254</v>
      </c>
      <c r="H370" s="20" t="n">
        <v>15.68</v>
      </c>
    </row>
    <row r="371" customFormat="false" ht="15" hidden="false" customHeight="true" outlineLevel="0" collapsed="false">
      <c r="A371" s="22" t="n">
        <v>256</v>
      </c>
      <c r="B371" s="20" t="n">
        <v>14.56</v>
      </c>
      <c r="D371" s="22" t="n">
        <v>256</v>
      </c>
      <c r="E371" s="20" t="n">
        <v>15.68</v>
      </c>
      <c r="G371" s="22" t="n">
        <v>256</v>
      </c>
      <c r="H371" s="20" t="n">
        <v>15.68</v>
      </c>
    </row>
    <row r="372" customFormat="false" ht="15" hidden="false" customHeight="true" outlineLevel="0" collapsed="false">
      <c r="A372" s="22" t="n">
        <v>258</v>
      </c>
      <c r="B372" s="20" t="n">
        <v>14.82</v>
      </c>
      <c r="D372" s="22" t="n">
        <v>258</v>
      </c>
      <c r="E372" s="20" t="n">
        <v>15.96</v>
      </c>
      <c r="G372" s="22" t="n">
        <v>258</v>
      </c>
      <c r="H372" s="20" t="n">
        <v>15.96</v>
      </c>
    </row>
    <row r="373" customFormat="false" ht="15" hidden="false" customHeight="true" outlineLevel="0" collapsed="false">
      <c r="A373" s="22" t="n">
        <v>260</v>
      </c>
      <c r="B373" s="20" t="n">
        <v>14.82</v>
      </c>
      <c r="D373" s="22" t="n">
        <v>260</v>
      </c>
      <c r="E373" s="20" t="n">
        <v>15.96</v>
      </c>
      <c r="G373" s="22" t="n">
        <v>260</v>
      </c>
      <c r="H373" s="20" t="n">
        <v>15.96</v>
      </c>
    </row>
    <row r="374" customFormat="false" ht="15" hidden="false" customHeight="true" outlineLevel="0" collapsed="false">
      <c r="A374" s="22" t="n">
        <v>262</v>
      </c>
      <c r="B374" s="20" t="n">
        <v>15.08</v>
      </c>
      <c r="D374" s="22" t="n">
        <v>262</v>
      </c>
      <c r="E374" s="20" t="n">
        <v>16.24</v>
      </c>
      <c r="G374" s="22" t="n">
        <v>262</v>
      </c>
      <c r="H374" s="20" t="n">
        <v>16.24</v>
      </c>
    </row>
    <row r="375" customFormat="false" ht="15" hidden="false" customHeight="true" outlineLevel="0" collapsed="false">
      <c r="A375" s="22" t="n">
        <v>264</v>
      </c>
      <c r="B375" s="20" t="n">
        <v>15.08</v>
      </c>
      <c r="D375" s="22" t="n">
        <v>264</v>
      </c>
      <c r="E375" s="20" t="n">
        <v>16.24</v>
      </c>
      <c r="G375" s="22" t="n">
        <v>264</v>
      </c>
      <c r="H375" s="20" t="n">
        <v>16.24</v>
      </c>
    </row>
    <row r="376" customFormat="false" ht="15" hidden="false" customHeight="true" outlineLevel="0" collapsed="false">
      <c r="A376" s="22" t="n">
        <v>266</v>
      </c>
      <c r="B376" s="20" t="n">
        <v>15.34</v>
      </c>
      <c r="D376" s="22" t="n">
        <v>266</v>
      </c>
      <c r="E376" s="20" t="n">
        <v>16.52</v>
      </c>
      <c r="G376" s="22" t="n">
        <v>266</v>
      </c>
      <c r="H376" s="20" t="n">
        <v>16.52</v>
      </c>
    </row>
    <row r="377" customFormat="false" ht="15" hidden="false" customHeight="true" outlineLevel="0" collapsed="false">
      <c r="A377" s="22" t="n">
        <v>268</v>
      </c>
      <c r="B377" s="20" t="n">
        <v>15.34</v>
      </c>
      <c r="D377" s="22" t="n">
        <v>268</v>
      </c>
      <c r="E377" s="20" t="n">
        <v>16.52</v>
      </c>
      <c r="G377" s="22" t="n">
        <v>268</v>
      </c>
      <c r="H377" s="20" t="n">
        <v>16.52</v>
      </c>
    </row>
    <row r="378" customFormat="false" ht="15" hidden="false" customHeight="true" outlineLevel="0" collapsed="false">
      <c r="A378" s="22" t="n">
        <v>270</v>
      </c>
      <c r="B378" s="20" t="n">
        <v>15.6</v>
      </c>
      <c r="D378" s="22" t="n">
        <v>270</v>
      </c>
      <c r="E378" s="20" t="n">
        <v>16.8</v>
      </c>
      <c r="G378" s="22" t="n">
        <v>270</v>
      </c>
      <c r="H378" s="20" t="n">
        <v>16.8</v>
      </c>
    </row>
    <row r="379" customFormat="false" ht="15" hidden="false" customHeight="true" outlineLevel="0" collapsed="false">
      <c r="A379" s="22" t="n">
        <v>272</v>
      </c>
      <c r="B379" s="20" t="n">
        <v>15.6</v>
      </c>
      <c r="D379" s="22" t="n">
        <v>272</v>
      </c>
      <c r="E379" s="20" t="n">
        <v>16.8</v>
      </c>
      <c r="G379" s="22" t="n">
        <v>272</v>
      </c>
      <c r="H379" s="20" t="n">
        <v>16.8</v>
      </c>
    </row>
    <row r="380" customFormat="false" ht="15" hidden="false" customHeight="true" outlineLevel="0" collapsed="false">
      <c r="A380" s="22" t="n">
        <v>274</v>
      </c>
      <c r="B380" s="20" t="n">
        <v>15.86</v>
      </c>
      <c r="D380" s="22" t="n">
        <v>274</v>
      </c>
      <c r="E380" s="20" t="n">
        <v>17.08</v>
      </c>
      <c r="G380" s="22" t="n">
        <v>274</v>
      </c>
      <c r="H380" s="20" t="n">
        <v>17.08</v>
      </c>
    </row>
    <row r="381" customFormat="false" ht="15" hidden="false" customHeight="true" outlineLevel="0" collapsed="false">
      <c r="A381" s="22" t="n">
        <v>276</v>
      </c>
      <c r="B381" s="20" t="n">
        <v>15.86</v>
      </c>
      <c r="D381" s="22" t="n">
        <v>276</v>
      </c>
      <c r="E381" s="20" t="n">
        <v>17.08</v>
      </c>
      <c r="G381" s="22" t="n">
        <v>276</v>
      </c>
      <c r="H381" s="20" t="n">
        <v>17.08</v>
      </c>
    </row>
    <row r="382" customFormat="false" ht="15" hidden="false" customHeight="true" outlineLevel="0" collapsed="false">
      <c r="A382" s="22" t="n">
        <v>278</v>
      </c>
      <c r="B382" s="20" t="n">
        <v>16.12</v>
      </c>
      <c r="D382" s="22" t="n">
        <v>278</v>
      </c>
      <c r="E382" s="20" t="n">
        <v>17.36</v>
      </c>
      <c r="G382" s="22" t="n">
        <v>278</v>
      </c>
      <c r="H382" s="20" t="n">
        <v>17.36</v>
      </c>
    </row>
    <row r="383" customFormat="false" ht="15" hidden="false" customHeight="true" outlineLevel="0" collapsed="false">
      <c r="A383" s="22" t="n">
        <v>280</v>
      </c>
      <c r="B383" s="20" t="n">
        <v>16.12</v>
      </c>
      <c r="D383" s="22" t="n">
        <v>280</v>
      </c>
      <c r="E383" s="20" t="n">
        <v>17.36</v>
      </c>
      <c r="G383" s="22" t="n">
        <v>280</v>
      </c>
      <c r="H383" s="20" t="n">
        <v>17.36</v>
      </c>
    </row>
    <row r="384" customFormat="false" ht="15" hidden="false" customHeight="true" outlineLevel="0" collapsed="false">
      <c r="A384" s="22" t="n">
        <v>282</v>
      </c>
      <c r="B384" s="20" t="n">
        <v>16.38</v>
      </c>
      <c r="D384" s="22" t="n">
        <v>282</v>
      </c>
      <c r="E384" s="20" t="n">
        <v>17.64</v>
      </c>
      <c r="G384" s="22" t="n">
        <v>282</v>
      </c>
      <c r="H384" s="20" t="n">
        <v>17.64</v>
      </c>
    </row>
    <row r="385" customFormat="false" ht="15" hidden="false" customHeight="true" outlineLevel="0" collapsed="false">
      <c r="A385" s="22" t="n">
        <v>284</v>
      </c>
      <c r="B385" s="20" t="n">
        <v>16.38</v>
      </c>
      <c r="D385" s="22" t="n">
        <v>284</v>
      </c>
      <c r="E385" s="20" t="n">
        <v>17.64</v>
      </c>
      <c r="G385" s="22" t="n">
        <v>284</v>
      </c>
      <c r="H385" s="20" t="n">
        <v>17.64</v>
      </c>
    </row>
    <row r="386" customFormat="false" ht="15" hidden="false" customHeight="true" outlineLevel="0" collapsed="false">
      <c r="A386" s="22" t="n">
        <v>286</v>
      </c>
      <c r="B386" s="20" t="n">
        <v>16.64</v>
      </c>
      <c r="D386" s="22" t="n">
        <v>286</v>
      </c>
      <c r="E386" s="20" t="n">
        <v>17.92</v>
      </c>
      <c r="G386" s="22" t="n">
        <v>286</v>
      </c>
      <c r="H386" s="20" t="n">
        <v>17.92</v>
      </c>
    </row>
    <row r="387" customFormat="false" ht="15" hidden="false" customHeight="true" outlineLevel="0" collapsed="false">
      <c r="A387" s="22" t="n">
        <v>288</v>
      </c>
      <c r="B387" s="20" t="n">
        <v>16.64</v>
      </c>
      <c r="D387" s="22" t="n">
        <v>288</v>
      </c>
      <c r="E387" s="20" t="n">
        <v>17.92</v>
      </c>
      <c r="G387" s="22" t="n">
        <v>288</v>
      </c>
      <c r="H387" s="20" t="n">
        <v>17.92</v>
      </c>
    </row>
    <row r="388" customFormat="false" ht="15" hidden="false" customHeight="true" outlineLevel="0" collapsed="false">
      <c r="A388" s="22" t="n">
        <v>290</v>
      </c>
      <c r="B388" s="20" t="n">
        <v>16.9</v>
      </c>
      <c r="D388" s="22" t="n">
        <v>290</v>
      </c>
      <c r="E388" s="20" t="n">
        <v>18.2</v>
      </c>
      <c r="G388" s="22" t="n">
        <v>290</v>
      </c>
      <c r="H388" s="20" t="n">
        <v>18.2</v>
      </c>
    </row>
    <row r="389" customFormat="false" ht="15" hidden="false" customHeight="true" outlineLevel="0" collapsed="false">
      <c r="A389" s="22" t="n">
        <v>292</v>
      </c>
      <c r="B389" s="20" t="n">
        <v>16.9</v>
      </c>
      <c r="D389" s="22" t="n">
        <v>292</v>
      </c>
      <c r="E389" s="20" t="n">
        <v>18.2</v>
      </c>
      <c r="G389" s="22" t="n">
        <v>292</v>
      </c>
      <c r="H389" s="20" t="n">
        <v>18.2</v>
      </c>
    </row>
    <row r="390" customFormat="false" ht="15" hidden="false" customHeight="true" outlineLevel="0" collapsed="false">
      <c r="A390" s="22" t="n">
        <v>294</v>
      </c>
      <c r="B390" s="20" t="n">
        <v>17.16</v>
      </c>
      <c r="D390" s="22" t="n">
        <v>294</v>
      </c>
      <c r="E390" s="20" t="n">
        <v>18.48</v>
      </c>
      <c r="G390" s="22" t="n">
        <v>294</v>
      </c>
      <c r="H390" s="20" t="n">
        <v>18.48</v>
      </c>
    </row>
    <row r="391" customFormat="false" ht="15" hidden="false" customHeight="true" outlineLevel="0" collapsed="false">
      <c r="A391" s="22" t="n">
        <v>296</v>
      </c>
      <c r="B391" s="20" t="n">
        <v>17.16</v>
      </c>
      <c r="D391" s="22" t="n">
        <v>296</v>
      </c>
      <c r="E391" s="20" t="n">
        <v>18.48</v>
      </c>
      <c r="G391" s="22" t="n">
        <v>296</v>
      </c>
      <c r="H391" s="20" t="n">
        <v>18.48</v>
      </c>
    </row>
    <row r="392" customFormat="false" ht="15" hidden="false" customHeight="true" outlineLevel="0" collapsed="false">
      <c r="A392" s="22" t="n">
        <v>298</v>
      </c>
      <c r="B392" s="20" t="n">
        <v>17.42</v>
      </c>
      <c r="D392" s="22" t="n">
        <v>298</v>
      </c>
      <c r="E392" s="20" t="n">
        <v>18.76</v>
      </c>
      <c r="G392" s="22" t="n">
        <v>298</v>
      </c>
      <c r="H392" s="20" t="n">
        <v>18.76</v>
      </c>
    </row>
    <row r="393" customFormat="false" ht="15" hidden="false" customHeight="true" outlineLevel="0" collapsed="false">
      <c r="A393" s="22" t="n">
        <v>300</v>
      </c>
      <c r="B393" s="20" t="n">
        <v>17.42</v>
      </c>
      <c r="D393" s="22" t="n">
        <v>300</v>
      </c>
      <c r="E393" s="20" t="n">
        <v>18.76</v>
      </c>
      <c r="G393" s="22" t="n">
        <v>300</v>
      </c>
      <c r="H393" s="20" t="n">
        <v>18.76</v>
      </c>
    </row>
    <row r="394" customFormat="false" ht="15" hidden="false" customHeight="true" outlineLevel="0" collapsed="false">
      <c r="A394" s="22" t="n">
        <v>302</v>
      </c>
      <c r="B394" s="20" t="n">
        <v>17.68</v>
      </c>
      <c r="D394" s="22" t="n">
        <v>302</v>
      </c>
      <c r="E394" s="20" t="n">
        <v>19.04</v>
      </c>
      <c r="G394" s="22" t="n">
        <v>302</v>
      </c>
      <c r="H394" s="20" t="n">
        <v>19.04</v>
      </c>
    </row>
    <row r="395" customFormat="false" ht="15" hidden="false" customHeight="true" outlineLevel="0" collapsed="false">
      <c r="A395" s="22" t="n">
        <v>304</v>
      </c>
      <c r="B395" s="20" t="n">
        <v>17.68</v>
      </c>
      <c r="D395" s="22" t="n">
        <v>304</v>
      </c>
      <c r="E395" s="20" t="n">
        <v>19.04</v>
      </c>
      <c r="G395" s="22" t="n">
        <v>304</v>
      </c>
      <c r="H395" s="20" t="n">
        <v>19.04</v>
      </c>
    </row>
    <row r="396" customFormat="false" ht="15" hidden="false" customHeight="true" outlineLevel="0" collapsed="false">
      <c r="A396" s="22" t="n">
        <v>306</v>
      </c>
      <c r="B396" s="20" t="n">
        <v>17.94</v>
      </c>
      <c r="D396" s="22" t="n">
        <v>306</v>
      </c>
      <c r="E396" s="20" t="n">
        <v>19.32</v>
      </c>
      <c r="G396" s="22" t="n">
        <v>306</v>
      </c>
      <c r="H396" s="20" t="n">
        <v>19.32</v>
      </c>
    </row>
    <row r="397" customFormat="false" ht="15" hidden="false" customHeight="true" outlineLevel="0" collapsed="false">
      <c r="A397" s="22" t="n">
        <v>308</v>
      </c>
      <c r="B397" s="20" t="n">
        <v>17.94</v>
      </c>
      <c r="D397" s="22" t="n">
        <v>308</v>
      </c>
      <c r="E397" s="20" t="n">
        <v>19.32</v>
      </c>
      <c r="G397" s="22" t="n">
        <v>308</v>
      </c>
      <c r="H397" s="20" t="n">
        <v>19.32</v>
      </c>
    </row>
    <row r="398" customFormat="false" ht="15" hidden="false" customHeight="true" outlineLevel="0" collapsed="false">
      <c r="A398" s="22" t="n">
        <v>310</v>
      </c>
      <c r="B398" s="20" t="n">
        <v>18.2</v>
      </c>
      <c r="D398" s="22" t="n">
        <v>310</v>
      </c>
      <c r="E398" s="20" t="n">
        <v>19.6</v>
      </c>
      <c r="G398" s="22" t="n">
        <v>310</v>
      </c>
      <c r="H398" s="20" t="n">
        <v>19.6</v>
      </c>
    </row>
    <row r="399" customFormat="false" ht="15" hidden="false" customHeight="true" outlineLevel="0" collapsed="false">
      <c r="A399" s="22" t="n">
        <v>312</v>
      </c>
      <c r="B399" s="20" t="n">
        <v>18.2</v>
      </c>
      <c r="D399" s="22" t="n">
        <v>312</v>
      </c>
      <c r="E399" s="20" t="n">
        <v>19.6</v>
      </c>
      <c r="G399" s="22" t="n">
        <v>312</v>
      </c>
      <c r="H399" s="20" t="n">
        <v>19.6</v>
      </c>
    </row>
    <row r="400" customFormat="false" ht="15" hidden="false" customHeight="true" outlineLevel="0" collapsed="false">
      <c r="A400" s="22" t="n">
        <v>314</v>
      </c>
      <c r="B400" s="20" t="n">
        <v>18.46</v>
      </c>
      <c r="D400" s="22" t="n">
        <v>314</v>
      </c>
      <c r="E400" s="20" t="n">
        <v>19.88</v>
      </c>
      <c r="G400" s="22" t="n">
        <v>314</v>
      </c>
      <c r="H400" s="20" t="n">
        <v>19.88</v>
      </c>
    </row>
    <row r="401" customFormat="false" ht="15" hidden="false" customHeight="true" outlineLevel="0" collapsed="false">
      <c r="A401" s="22" t="n">
        <v>316</v>
      </c>
      <c r="B401" s="20" t="n">
        <v>18.46</v>
      </c>
      <c r="D401" s="22" t="n">
        <v>316</v>
      </c>
      <c r="E401" s="20" t="n">
        <v>19.88</v>
      </c>
      <c r="G401" s="22" t="n">
        <v>316</v>
      </c>
      <c r="H401" s="20" t="n">
        <v>19.88</v>
      </c>
    </row>
    <row r="402" customFormat="false" ht="15" hidden="false" customHeight="true" outlineLevel="0" collapsed="false">
      <c r="A402" s="22" t="n">
        <v>318</v>
      </c>
      <c r="B402" s="20" t="n">
        <v>18.72</v>
      </c>
      <c r="D402" s="22" t="n">
        <v>318</v>
      </c>
      <c r="E402" s="20" t="n">
        <v>20.16</v>
      </c>
      <c r="G402" s="22" t="n">
        <v>318</v>
      </c>
      <c r="H402" s="20" t="n">
        <v>20.16</v>
      </c>
    </row>
    <row r="403" customFormat="false" ht="15" hidden="false" customHeight="true" outlineLevel="0" collapsed="false">
      <c r="A403" s="22" t="n">
        <v>320</v>
      </c>
      <c r="B403" s="20" t="n">
        <v>18.72</v>
      </c>
      <c r="D403" s="22" t="n">
        <v>320</v>
      </c>
      <c r="E403" s="20" t="n">
        <v>20.16</v>
      </c>
      <c r="G403" s="22" t="n">
        <v>320</v>
      </c>
      <c r="H403" s="20" t="n">
        <v>20.16</v>
      </c>
    </row>
    <row r="404" customFormat="false" ht="15" hidden="false" customHeight="true" outlineLevel="0" collapsed="false">
      <c r="A404" s="22" t="n">
        <v>322</v>
      </c>
      <c r="B404" s="20" t="n">
        <v>18.98</v>
      </c>
      <c r="D404" s="22" t="n">
        <v>322</v>
      </c>
      <c r="E404" s="20" t="n">
        <v>20.44</v>
      </c>
      <c r="G404" s="22" t="n">
        <v>322</v>
      </c>
      <c r="H404" s="20" t="n">
        <v>20.44</v>
      </c>
    </row>
    <row r="405" customFormat="false" ht="15" hidden="false" customHeight="true" outlineLevel="0" collapsed="false">
      <c r="A405" s="22" t="n">
        <v>324</v>
      </c>
      <c r="B405" s="20" t="n">
        <v>18.98</v>
      </c>
      <c r="D405" s="22" t="n">
        <v>324</v>
      </c>
      <c r="E405" s="20" t="n">
        <v>20.44</v>
      </c>
      <c r="G405" s="22" t="n">
        <v>324</v>
      </c>
      <c r="H405" s="20" t="n">
        <v>20.44</v>
      </c>
    </row>
    <row r="406" customFormat="false" ht="15" hidden="false" customHeight="true" outlineLevel="0" collapsed="false">
      <c r="A406" s="22" t="n">
        <v>326</v>
      </c>
      <c r="B406" s="20" t="n">
        <v>19.24</v>
      </c>
      <c r="D406" s="22" t="n">
        <v>326</v>
      </c>
      <c r="E406" s="20" t="n">
        <v>20.72</v>
      </c>
      <c r="G406" s="22" t="n">
        <v>326</v>
      </c>
      <c r="H406" s="20" t="n">
        <v>20.72</v>
      </c>
    </row>
    <row r="407" customFormat="false" ht="15" hidden="false" customHeight="true" outlineLevel="0" collapsed="false">
      <c r="A407" s="22" t="n">
        <v>328</v>
      </c>
      <c r="B407" s="20" t="n">
        <v>19.24</v>
      </c>
      <c r="D407" s="22" t="n">
        <v>328</v>
      </c>
      <c r="E407" s="20" t="n">
        <v>20.72</v>
      </c>
      <c r="G407" s="22" t="n">
        <v>328</v>
      </c>
      <c r="H407" s="20" t="n">
        <v>20.72</v>
      </c>
    </row>
    <row r="408" customFormat="false" ht="15" hidden="false" customHeight="true" outlineLevel="0" collapsed="false">
      <c r="A408" s="22" t="n">
        <v>330</v>
      </c>
      <c r="B408" s="20" t="n">
        <v>19.5</v>
      </c>
      <c r="D408" s="22" t="n">
        <v>330</v>
      </c>
      <c r="E408" s="20" t="n">
        <v>21</v>
      </c>
      <c r="G408" s="22" t="n">
        <v>330</v>
      </c>
      <c r="H408" s="20" t="n">
        <v>21</v>
      </c>
    </row>
    <row r="409" customFormat="false" ht="15" hidden="false" customHeight="true" outlineLevel="0" collapsed="false">
      <c r="A409" s="22" t="n">
        <v>332</v>
      </c>
      <c r="B409" s="20" t="n">
        <v>19.5</v>
      </c>
      <c r="D409" s="22" t="n">
        <v>332</v>
      </c>
      <c r="E409" s="20" t="n">
        <v>21</v>
      </c>
      <c r="G409" s="22" t="n">
        <v>332</v>
      </c>
      <c r="H409" s="20" t="n">
        <v>21</v>
      </c>
    </row>
    <row r="410" customFormat="false" ht="15" hidden="false" customHeight="true" outlineLevel="0" collapsed="false">
      <c r="A410" s="22" t="n">
        <v>334</v>
      </c>
      <c r="B410" s="20" t="n">
        <v>19.76</v>
      </c>
      <c r="D410" s="22" t="n">
        <v>334</v>
      </c>
      <c r="E410" s="20" t="n">
        <v>21.28</v>
      </c>
      <c r="G410" s="22" t="n">
        <v>334</v>
      </c>
      <c r="H410" s="20" t="n">
        <v>21.28</v>
      </c>
    </row>
    <row r="411" customFormat="false" ht="15" hidden="false" customHeight="true" outlineLevel="0" collapsed="false">
      <c r="A411" s="22" t="n">
        <v>336</v>
      </c>
      <c r="B411" s="20" t="n">
        <v>19.76</v>
      </c>
      <c r="D411" s="22" t="n">
        <v>336</v>
      </c>
      <c r="E411" s="20" t="n">
        <v>21.28</v>
      </c>
      <c r="G411" s="22" t="n">
        <v>336</v>
      </c>
      <c r="H411" s="20" t="n">
        <v>21.28</v>
      </c>
    </row>
    <row r="412" customFormat="false" ht="15" hidden="false" customHeight="true" outlineLevel="0" collapsed="false">
      <c r="A412" s="22" t="n">
        <v>338</v>
      </c>
      <c r="B412" s="20" t="n">
        <v>20.02</v>
      </c>
      <c r="D412" s="22" t="n">
        <v>338</v>
      </c>
      <c r="E412" s="20" t="n">
        <v>21.56</v>
      </c>
      <c r="G412" s="22" t="n">
        <v>338</v>
      </c>
      <c r="H412" s="20" t="n">
        <v>21.56</v>
      </c>
    </row>
    <row r="413" customFormat="false" ht="15" hidden="false" customHeight="true" outlineLevel="0" collapsed="false">
      <c r="A413" s="22" t="n">
        <v>340</v>
      </c>
      <c r="B413" s="20" t="n">
        <v>20.02</v>
      </c>
      <c r="D413" s="22" t="n">
        <v>340</v>
      </c>
      <c r="E413" s="20" t="n">
        <v>21.56</v>
      </c>
      <c r="G413" s="22" t="n">
        <v>340</v>
      </c>
      <c r="H413" s="20" t="n">
        <v>21.56</v>
      </c>
    </row>
    <row r="414" customFormat="false" ht="15" hidden="false" customHeight="true" outlineLevel="0" collapsed="false">
      <c r="A414" s="22" t="n">
        <v>342</v>
      </c>
      <c r="B414" s="20" t="n">
        <v>20.28</v>
      </c>
      <c r="D414" s="22" t="n">
        <v>342</v>
      </c>
      <c r="E414" s="20" t="n">
        <v>21.84</v>
      </c>
      <c r="G414" s="22" t="n">
        <v>342</v>
      </c>
      <c r="H414" s="20" t="n">
        <v>21.84</v>
      </c>
    </row>
    <row r="415" customFormat="false" ht="15" hidden="false" customHeight="true" outlineLevel="0" collapsed="false">
      <c r="A415" s="22" t="n">
        <v>344</v>
      </c>
      <c r="B415" s="20" t="n">
        <v>20.28</v>
      </c>
      <c r="D415" s="22" t="n">
        <v>344</v>
      </c>
      <c r="E415" s="20" t="n">
        <v>21.84</v>
      </c>
      <c r="G415" s="22" t="n">
        <v>344</v>
      </c>
      <c r="H415" s="20" t="n">
        <v>21.84</v>
      </c>
    </row>
    <row r="416" customFormat="false" ht="15" hidden="false" customHeight="true" outlineLevel="0" collapsed="false">
      <c r="A416" s="22" t="n">
        <v>346</v>
      </c>
      <c r="B416" s="20" t="n">
        <v>20.54</v>
      </c>
      <c r="D416" s="22" t="n">
        <v>346</v>
      </c>
      <c r="E416" s="20" t="n">
        <v>22.12</v>
      </c>
      <c r="G416" s="22" t="n">
        <v>346</v>
      </c>
      <c r="H416" s="20" t="n">
        <v>22.12</v>
      </c>
    </row>
    <row r="417" customFormat="false" ht="15" hidden="false" customHeight="true" outlineLevel="0" collapsed="false">
      <c r="A417" s="22" t="n">
        <v>348</v>
      </c>
      <c r="B417" s="20" t="n">
        <v>20.54</v>
      </c>
      <c r="D417" s="22" t="n">
        <v>348</v>
      </c>
      <c r="E417" s="20" t="n">
        <v>22.12</v>
      </c>
      <c r="G417" s="22" t="n">
        <v>348</v>
      </c>
      <c r="H417" s="20" t="n">
        <v>22.12</v>
      </c>
    </row>
    <row r="418" customFormat="false" ht="15" hidden="false" customHeight="true" outlineLevel="0" collapsed="false">
      <c r="A418" s="22" t="n">
        <v>350</v>
      </c>
      <c r="B418" s="20" t="n">
        <v>20.8</v>
      </c>
      <c r="D418" s="22" t="n">
        <v>350</v>
      </c>
      <c r="E418" s="20" t="n">
        <v>22.4</v>
      </c>
      <c r="G418" s="22" t="n">
        <v>350</v>
      </c>
      <c r="H418" s="20" t="n">
        <v>22.4</v>
      </c>
    </row>
    <row r="419" customFormat="false" ht="15" hidden="false" customHeight="true" outlineLevel="0" collapsed="false"/>
  </sheetData>
  <mergeCells count="25">
    <mergeCell ref="A1:I1"/>
    <mergeCell ref="A2:I2"/>
    <mergeCell ref="C5:I5"/>
    <mergeCell ref="K7:L7"/>
    <mergeCell ref="A24:I24"/>
    <mergeCell ref="A25:I25"/>
    <mergeCell ref="A37:I37"/>
    <mergeCell ref="A45:I45"/>
    <mergeCell ref="A53:I53"/>
    <mergeCell ref="A64:I64"/>
    <mergeCell ref="A65:I65"/>
    <mergeCell ref="A84:I84"/>
    <mergeCell ref="A86:B86"/>
    <mergeCell ref="D86:E86"/>
    <mergeCell ref="G86:H86"/>
    <mergeCell ref="A87:B87"/>
    <mergeCell ref="D87:E87"/>
    <mergeCell ref="G87:H87"/>
    <mergeCell ref="A252:I252"/>
    <mergeCell ref="A254:B254"/>
    <mergeCell ref="D254:E254"/>
    <mergeCell ref="G254:H254"/>
    <mergeCell ref="A255:B255"/>
    <mergeCell ref="D255:E255"/>
    <mergeCell ref="G255:H2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20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17.25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3" t="s">
        <v>82</v>
      </c>
      <c r="B2" s="3"/>
      <c r="C2" s="3"/>
      <c r="D2" s="3"/>
      <c r="E2" s="3"/>
      <c r="F2" s="3"/>
      <c r="G2" s="3"/>
      <c r="H2" s="3"/>
      <c r="I2" s="3"/>
    </row>
    <row r="5" customFormat="false" ht="15" hidden="false" customHeight="true" outlineLevel="0" collapsed="false">
      <c r="A5" s="4" t="s">
        <v>2</v>
      </c>
      <c r="B5" s="5" t="n">
        <v>15</v>
      </c>
      <c r="C5" s="3" t="s">
        <v>83</v>
      </c>
      <c r="D5" s="3"/>
      <c r="E5" s="3"/>
      <c r="F5" s="3"/>
      <c r="G5" s="3"/>
      <c r="H5" s="3"/>
      <c r="I5" s="3"/>
    </row>
    <row r="7" customFormat="false" ht="30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K7" s="7" t="s">
        <v>13</v>
      </c>
      <c r="L7" s="7"/>
    </row>
    <row r="8" customFormat="false" ht="15" hidden="false" customHeight="true" outlineLevel="0" collapsed="false">
      <c r="A8" s="8" t="n">
        <v>1</v>
      </c>
      <c r="B8" s="9" t="n">
        <v>0</v>
      </c>
      <c r="C8" s="10" t="n">
        <f aca="false">$B$5</f>
        <v>15</v>
      </c>
      <c r="D8" s="10" t="n">
        <f aca="false">C8*(1-B8)</f>
        <v>15</v>
      </c>
      <c r="E8" s="11" t="n">
        <f aca="false">A8*C8</f>
        <v>15</v>
      </c>
      <c r="F8" s="11" t="n">
        <f aca="false">A8*D8</f>
        <v>15</v>
      </c>
      <c r="G8" s="11" t="n">
        <f aca="false">E8-F8</f>
        <v>0</v>
      </c>
      <c r="H8" s="10" t="n">
        <f aca="false">C8-D8</f>
        <v>0</v>
      </c>
      <c r="I8" s="12" t="s">
        <v>14</v>
      </c>
      <c r="K8" s="13" t="s">
        <v>15</v>
      </c>
      <c r="L8" s="14" t="n">
        <f aca="false">MAX(B8:B20)</f>
        <v>0.65</v>
      </c>
    </row>
    <row r="9" customFormat="false" ht="15" hidden="false" customHeight="true" outlineLevel="0" collapsed="false">
      <c r="A9" s="8" t="n">
        <v>2</v>
      </c>
      <c r="B9" s="9" t="n">
        <v>0.062</v>
      </c>
      <c r="C9" s="10" t="n">
        <f aca="false">$B$5</f>
        <v>15</v>
      </c>
      <c r="D9" s="10" t="n">
        <f aca="false">C9*(1-B9)</f>
        <v>14.07</v>
      </c>
      <c r="E9" s="11" t="n">
        <f aca="false">A9*C9</f>
        <v>30</v>
      </c>
      <c r="F9" s="11" t="n">
        <f aca="false">A9*D9</f>
        <v>28.14</v>
      </c>
      <c r="G9" s="11" t="n">
        <f aca="false">E9-F9</f>
        <v>1.86</v>
      </c>
      <c r="H9" s="10" t="n">
        <f aca="false">C9-D9</f>
        <v>0.930000000000002</v>
      </c>
      <c r="I9" s="12" t="s">
        <v>14</v>
      </c>
      <c r="K9" s="13" t="s">
        <v>16</v>
      </c>
      <c r="L9" s="15" t="n">
        <f aca="false">MIN(D8:D20)</f>
        <v>5.25</v>
      </c>
    </row>
    <row r="10" customFormat="false" ht="15" hidden="false" customHeight="true" outlineLevel="0" collapsed="false">
      <c r="A10" s="8" t="n">
        <v>5</v>
      </c>
      <c r="B10" s="9" t="n">
        <v>0.118</v>
      </c>
      <c r="C10" s="10" t="n">
        <f aca="false">$B$5</f>
        <v>15</v>
      </c>
      <c r="D10" s="10" t="n">
        <f aca="false">C10*(1-B10)</f>
        <v>13.23</v>
      </c>
      <c r="E10" s="11" t="n">
        <f aca="false">A10*C10</f>
        <v>75</v>
      </c>
      <c r="F10" s="11" t="n">
        <f aca="false">A10*D10</f>
        <v>66.15</v>
      </c>
      <c r="G10" s="11" t="n">
        <f aca="false">E10-F10</f>
        <v>8.84999999999999</v>
      </c>
      <c r="H10" s="10" t="n">
        <f aca="false">C10-D10</f>
        <v>1.77</v>
      </c>
      <c r="I10" s="12" t="s">
        <v>14</v>
      </c>
      <c r="K10" s="13" t="s">
        <v>17</v>
      </c>
      <c r="L10" s="15" t="n">
        <f aca="false">F20</f>
        <v>5250</v>
      </c>
    </row>
    <row r="11" customFormat="false" ht="15" hidden="false" customHeight="true" outlineLevel="0" collapsed="false">
      <c r="A11" s="8" t="n">
        <v>20</v>
      </c>
      <c r="B11" s="9" t="n">
        <v>0.27</v>
      </c>
      <c r="C11" s="10" t="n">
        <f aca="false">$B$5</f>
        <v>15</v>
      </c>
      <c r="D11" s="10" t="n">
        <f aca="false">C11*(1-B11)</f>
        <v>10.95</v>
      </c>
      <c r="E11" s="11" t="n">
        <f aca="false">A11*C11</f>
        <v>300</v>
      </c>
      <c r="F11" s="11" t="n">
        <f aca="false">A11*D11</f>
        <v>219</v>
      </c>
      <c r="G11" s="11" t="n">
        <f aca="false">E11-F11</f>
        <v>81</v>
      </c>
      <c r="H11" s="10" t="n">
        <f aca="false">C11-D11</f>
        <v>4.05</v>
      </c>
      <c r="I11" s="12" t="s">
        <v>14</v>
      </c>
      <c r="K11" s="13" t="s">
        <v>18</v>
      </c>
      <c r="L11" s="15" t="n">
        <f aca="false">G20</f>
        <v>9750</v>
      </c>
    </row>
    <row r="12" customFormat="false" ht="15" hidden="false" customHeight="true" outlineLevel="0" collapsed="false">
      <c r="A12" s="8" t="n">
        <v>25</v>
      </c>
      <c r="B12" s="9" t="n">
        <v>0.289</v>
      </c>
      <c r="C12" s="10" t="n">
        <f aca="false">$B$5</f>
        <v>15</v>
      </c>
      <c r="D12" s="10" t="n">
        <f aca="false">C12*(1-B12)</f>
        <v>10.665</v>
      </c>
      <c r="E12" s="11" t="n">
        <f aca="false">A12*C12</f>
        <v>375</v>
      </c>
      <c r="F12" s="11" t="n">
        <f aca="false">A12*D12</f>
        <v>266.625</v>
      </c>
      <c r="G12" s="11" t="n">
        <f aca="false">E12-F12</f>
        <v>108.375</v>
      </c>
      <c r="H12" s="10" t="n">
        <f aca="false">C12-D12</f>
        <v>4.335</v>
      </c>
      <c r="I12" s="12" t="s">
        <v>14</v>
      </c>
    </row>
    <row r="13" customFormat="false" ht="15" hidden="false" customHeight="true" outlineLevel="0" collapsed="false">
      <c r="A13" s="8" t="n">
        <v>50</v>
      </c>
      <c r="B13" s="9" t="n">
        <v>0.363</v>
      </c>
      <c r="C13" s="10" t="n">
        <f aca="false">$B$5</f>
        <v>15</v>
      </c>
      <c r="D13" s="10" t="n">
        <f aca="false">C13*(1-B13)</f>
        <v>9.555</v>
      </c>
      <c r="E13" s="11" t="n">
        <f aca="false">A13*C13</f>
        <v>750</v>
      </c>
      <c r="F13" s="11" t="n">
        <f aca="false">A13*D13</f>
        <v>477.75</v>
      </c>
      <c r="G13" s="11" t="n">
        <f aca="false">E13-F13</f>
        <v>272.25</v>
      </c>
      <c r="H13" s="10" t="n">
        <f aca="false">C13-D13</f>
        <v>5.445</v>
      </c>
      <c r="I13" s="12" t="s">
        <v>14</v>
      </c>
    </row>
    <row r="14" customFormat="false" ht="15" hidden="false" customHeight="true" outlineLevel="0" collapsed="false">
      <c r="A14" s="8" t="n">
        <v>75</v>
      </c>
      <c r="B14" s="9" t="n">
        <v>0.393</v>
      </c>
      <c r="C14" s="10" t="n">
        <f aca="false">$B$5</f>
        <v>15</v>
      </c>
      <c r="D14" s="10" t="n">
        <f aca="false">C14*(1-B14)</f>
        <v>9.105</v>
      </c>
      <c r="E14" s="11" t="n">
        <f aca="false">A14*C14</f>
        <v>1125</v>
      </c>
      <c r="F14" s="11" t="n">
        <f aca="false">A14*D14</f>
        <v>682.875</v>
      </c>
      <c r="G14" s="11" t="n">
        <f aca="false">E14-F14</f>
        <v>442.125</v>
      </c>
      <c r="H14" s="10" t="n">
        <f aca="false">C14-D14</f>
        <v>5.895</v>
      </c>
      <c r="I14" s="12" t="s">
        <v>14</v>
      </c>
    </row>
    <row r="15" customFormat="false" ht="15" hidden="false" customHeight="true" outlineLevel="0" collapsed="false">
      <c r="A15" s="8" t="n">
        <v>100</v>
      </c>
      <c r="B15" s="9" t="n">
        <v>0.42</v>
      </c>
      <c r="C15" s="10" t="n">
        <f aca="false">$B$5</f>
        <v>15</v>
      </c>
      <c r="D15" s="10" t="n">
        <f aca="false">C15*(1-B15)</f>
        <v>8.7</v>
      </c>
      <c r="E15" s="11" t="n">
        <f aca="false">A15*C15</f>
        <v>1500</v>
      </c>
      <c r="F15" s="11" t="n">
        <f aca="false">A15*D15</f>
        <v>870</v>
      </c>
      <c r="G15" s="11" t="n">
        <f aca="false">E15-F15</f>
        <v>630</v>
      </c>
      <c r="H15" s="10" t="n">
        <f aca="false">C15-D15</f>
        <v>6.3</v>
      </c>
      <c r="I15" s="12" t="s">
        <v>14</v>
      </c>
    </row>
    <row r="16" customFormat="false" ht="15" hidden="false" customHeight="true" outlineLevel="0" collapsed="false">
      <c r="A16" s="8" t="n">
        <v>250</v>
      </c>
      <c r="B16" s="9" t="n">
        <v>0.478</v>
      </c>
      <c r="C16" s="10" t="n">
        <f aca="false">$B$5</f>
        <v>15</v>
      </c>
      <c r="D16" s="10" t="n">
        <f aca="false">C16*(1-B16)</f>
        <v>7.83</v>
      </c>
      <c r="E16" s="11" t="n">
        <f aca="false">A16*C16</f>
        <v>3750</v>
      </c>
      <c r="F16" s="11" t="n">
        <f aca="false">A16*D16</f>
        <v>1957.5</v>
      </c>
      <c r="G16" s="11" t="n">
        <f aca="false">E16-F16</f>
        <v>1792.5</v>
      </c>
      <c r="H16" s="10" t="n">
        <f aca="false">C16-D16</f>
        <v>7.17</v>
      </c>
      <c r="I16" s="12" t="s">
        <v>14</v>
      </c>
    </row>
    <row r="17" customFormat="false" ht="15" hidden="false" customHeight="true" outlineLevel="0" collapsed="false">
      <c r="A17" s="8" t="n">
        <v>300</v>
      </c>
      <c r="B17" s="9" t="n">
        <v>0.5</v>
      </c>
      <c r="C17" s="10" t="n">
        <f aca="false">$B$5</f>
        <v>15</v>
      </c>
      <c r="D17" s="10" t="n">
        <f aca="false">C17*(1-B17)</f>
        <v>7.5</v>
      </c>
      <c r="E17" s="11" t="n">
        <f aca="false">A17*C17</f>
        <v>4500</v>
      </c>
      <c r="F17" s="11" t="n">
        <f aca="false">A17*D17</f>
        <v>2250</v>
      </c>
      <c r="G17" s="11" t="n">
        <f aca="false">E17-F17</f>
        <v>2250</v>
      </c>
      <c r="H17" s="10" t="n">
        <f aca="false">C17-D17</f>
        <v>7.5</v>
      </c>
      <c r="I17" s="12" t="s">
        <v>14</v>
      </c>
    </row>
    <row r="18" customFormat="false" ht="15" hidden="false" customHeight="true" outlineLevel="0" collapsed="false">
      <c r="A18" s="8" t="n">
        <v>500</v>
      </c>
      <c r="B18" s="9" t="n">
        <v>0.532</v>
      </c>
      <c r="C18" s="10" t="n">
        <f aca="false">$B$5</f>
        <v>15</v>
      </c>
      <c r="D18" s="10" t="n">
        <f aca="false">C18*(1-B18)</f>
        <v>7.02</v>
      </c>
      <c r="E18" s="11" t="n">
        <f aca="false">A18*C18</f>
        <v>7500</v>
      </c>
      <c r="F18" s="11" t="n">
        <f aca="false">A18*D18</f>
        <v>3510</v>
      </c>
      <c r="G18" s="11" t="n">
        <f aca="false">E18-F18</f>
        <v>3990</v>
      </c>
      <c r="H18" s="10" t="n">
        <f aca="false">C18-D18</f>
        <v>7.98</v>
      </c>
      <c r="I18" s="12" t="s">
        <v>14</v>
      </c>
    </row>
    <row r="19" customFormat="false" ht="15" hidden="false" customHeight="true" outlineLevel="0" collapsed="false">
      <c r="A19" s="8" t="n">
        <v>750</v>
      </c>
      <c r="B19" s="9" t="n">
        <v>0.575</v>
      </c>
      <c r="C19" s="10" t="n">
        <f aca="false">$B$5</f>
        <v>15</v>
      </c>
      <c r="D19" s="10" t="n">
        <f aca="false">C19*(1-B19)</f>
        <v>6.375</v>
      </c>
      <c r="E19" s="11" t="n">
        <f aca="false">A19*C19</f>
        <v>11250</v>
      </c>
      <c r="F19" s="11" t="n">
        <f aca="false">A19*D19</f>
        <v>4781.25</v>
      </c>
      <c r="G19" s="11" t="n">
        <f aca="false">E19-F19</f>
        <v>6468.75</v>
      </c>
      <c r="H19" s="10" t="n">
        <f aca="false">C19-D19</f>
        <v>8.625</v>
      </c>
      <c r="I19" s="12" t="s">
        <v>14</v>
      </c>
    </row>
    <row r="20" customFormat="false" ht="15" hidden="false" customHeight="true" outlineLevel="0" collapsed="false">
      <c r="A20" s="8" t="n">
        <v>1000</v>
      </c>
      <c r="B20" s="9" t="n">
        <v>0.65</v>
      </c>
      <c r="C20" s="10" t="n">
        <f aca="false">$B$5</f>
        <v>15</v>
      </c>
      <c r="D20" s="10" t="n">
        <f aca="false">C20*(1-B20)</f>
        <v>5.25</v>
      </c>
      <c r="E20" s="11" t="n">
        <f aca="false">A20*C20</f>
        <v>15000</v>
      </c>
      <c r="F20" s="11" t="n">
        <f aca="false">A20*D20</f>
        <v>5250</v>
      </c>
      <c r="G20" s="11" t="n">
        <f aca="false">E20-F20</f>
        <v>9750</v>
      </c>
      <c r="H20" s="10" t="n">
        <f aca="false">C20-D20</f>
        <v>9.75</v>
      </c>
      <c r="I20" s="12" t="s">
        <v>19</v>
      </c>
    </row>
    <row r="24" customFormat="false" ht="21.75" hidden="false" customHeight="true" outlineLevel="0" collapsed="false">
      <c r="A24" s="16" t="s">
        <v>20</v>
      </c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true" outlineLevel="0" collapsed="false">
      <c r="A25" s="17" t="s">
        <v>21</v>
      </c>
      <c r="B25" s="17"/>
      <c r="C25" s="17"/>
      <c r="D25" s="17"/>
      <c r="E25" s="17"/>
      <c r="F25" s="17"/>
      <c r="G25" s="17"/>
      <c r="H25" s="17"/>
      <c r="I25" s="17"/>
    </row>
    <row r="27" customFormat="false" ht="15" hidden="false" customHeight="true" outlineLevel="0" collapsed="false">
      <c r="A27" s="18" t="s">
        <v>22</v>
      </c>
      <c r="B27" s="18" t="s">
        <v>23</v>
      </c>
      <c r="C27" s="18" t="s">
        <v>24</v>
      </c>
    </row>
    <row r="28" customFormat="false" ht="15" hidden="false" customHeight="true" outlineLevel="0" collapsed="false">
      <c r="A28" s="19" t="s">
        <v>25</v>
      </c>
      <c r="B28" s="20" t="n">
        <v>0.51</v>
      </c>
      <c r="C28" s="19" t="s">
        <v>26</v>
      </c>
    </row>
    <row r="29" customFormat="false" ht="15" hidden="false" customHeight="true" outlineLevel="0" collapsed="false">
      <c r="A29" s="19" t="s">
        <v>27</v>
      </c>
      <c r="B29" s="20" t="n">
        <v>0.15</v>
      </c>
      <c r="C29" s="19" t="s">
        <v>28</v>
      </c>
    </row>
    <row r="30" customFormat="false" ht="15" hidden="false" customHeight="true" outlineLevel="0" collapsed="false">
      <c r="A30" s="19" t="s">
        <v>29</v>
      </c>
      <c r="B30" s="20" t="n">
        <v>0</v>
      </c>
      <c r="C30" s="19" t="s">
        <v>30</v>
      </c>
    </row>
    <row r="31" customFormat="false" ht="15" hidden="false" customHeight="true" outlineLevel="0" collapsed="false">
      <c r="A31" s="19" t="s">
        <v>31</v>
      </c>
      <c r="B31" s="20" t="n">
        <v>0.15</v>
      </c>
      <c r="C31" s="19" t="s">
        <v>32</v>
      </c>
    </row>
    <row r="32" customFormat="false" ht="15" hidden="false" customHeight="true" outlineLevel="0" collapsed="false">
      <c r="A32" s="19" t="s">
        <v>33</v>
      </c>
      <c r="B32" s="20" t="n">
        <v>5</v>
      </c>
      <c r="C32" s="19" t="s">
        <v>34</v>
      </c>
    </row>
    <row r="33" customFormat="false" ht="15" hidden="false" customHeight="true" outlineLevel="0" collapsed="false">
      <c r="A33" s="19"/>
      <c r="B33" s="20"/>
      <c r="C33" s="19"/>
    </row>
    <row r="34" customFormat="false" ht="15" hidden="false" customHeight="true" outlineLevel="0" collapsed="false">
      <c r="A34" s="19"/>
      <c r="B34" s="20"/>
      <c r="C34" s="19"/>
    </row>
    <row r="37" customFormat="false" ht="21.75" hidden="false" customHeight="true" outlineLevel="0" collapsed="false">
      <c r="A37" s="16" t="s">
        <v>35</v>
      </c>
      <c r="B37" s="16"/>
      <c r="C37" s="16"/>
      <c r="D37" s="16"/>
      <c r="E37" s="16"/>
      <c r="F37" s="16"/>
      <c r="G37" s="16"/>
      <c r="H37" s="16"/>
      <c r="I37" s="16"/>
    </row>
    <row r="39" customFormat="false" ht="15" hidden="false" customHeight="true" outlineLevel="0" collapsed="false">
      <c r="A39" s="18" t="s">
        <v>36</v>
      </c>
      <c r="B39" s="18" t="s">
        <v>37</v>
      </c>
    </row>
    <row r="40" customFormat="false" ht="15" hidden="false" customHeight="true" outlineLevel="0" collapsed="false">
      <c r="A40" s="19" t="s">
        <v>38</v>
      </c>
      <c r="B40" s="20" t="n">
        <v>0</v>
      </c>
    </row>
    <row r="41" customFormat="false" ht="15" hidden="false" customHeight="true" outlineLevel="0" collapsed="false">
      <c r="A41" s="19" t="s">
        <v>39</v>
      </c>
      <c r="B41" s="20" t="n">
        <v>0.71</v>
      </c>
    </row>
    <row r="42" customFormat="false" ht="15" hidden="false" customHeight="true" outlineLevel="0" collapsed="false">
      <c r="A42" s="19" t="s">
        <v>40</v>
      </c>
      <c r="B42" s="20" t="n">
        <v>1.15</v>
      </c>
    </row>
    <row r="45" customFormat="false" ht="21.75" hidden="false" customHeight="true" outlineLevel="0" collapsed="false">
      <c r="A45" s="16" t="s">
        <v>41</v>
      </c>
      <c r="B45" s="16"/>
      <c r="C45" s="16"/>
      <c r="D45" s="16"/>
      <c r="E45" s="16"/>
      <c r="F45" s="16"/>
      <c r="G45" s="16"/>
      <c r="H45" s="16"/>
      <c r="I45" s="16"/>
    </row>
    <row r="47" customFormat="false" ht="15" hidden="false" customHeight="true" outlineLevel="0" collapsed="false">
      <c r="A47" s="18" t="s">
        <v>42</v>
      </c>
      <c r="B47" s="18" t="s">
        <v>37</v>
      </c>
    </row>
    <row r="48" customFormat="false" ht="15" hidden="false" customHeight="true" outlineLevel="0" collapsed="false">
      <c r="A48" s="19" t="s">
        <v>38</v>
      </c>
      <c r="B48" s="20" t="n">
        <v>0</v>
      </c>
    </row>
    <row r="49" customFormat="false" ht="15" hidden="false" customHeight="true" outlineLevel="0" collapsed="false">
      <c r="A49" s="19" t="s">
        <v>43</v>
      </c>
      <c r="B49" s="20" t="n">
        <v>0.14</v>
      </c>
    </row>
    <row r="50" customFormat="false" ht="15" hidden="false" customHeight="true" outlineLevel="0" collapsed="false">
      <c r="A50" s="19" t="s">
        <v>44</v>
      </c>
      <c r="B50" s="20" t="n">
        <v>0.77</v>
      </c>
    </row>
    <row r="53" customFormat="false" ht="21.75" hidden="false" customHeight="true" outlineLevel="0" collapsed="false">
      <c r="A53" s="16" t="s">
        <v>45</v>
      </c>
      <c r="B53" s="16"/>
      <c r="C53" s="16"/>
      <c r="D53" s="16"/>
      <c r="E53" s="16"/>
      <c r="F53" s="16"/>
      <c r="G53" s="16"/>
      <c r="H53" s="16"/>
      <c r="I53" s="16"/>
    </row>
    <row r="55" customFormat="false" ht="15" hidden="false" customHeight="true" outlineLevel="0" collapsed="false">
      <c r="A55" s="18" t="s">
        <v>46</v>
      </c>
      <c r="B55" s="18" t="s">
        <v>37</v>
      </c>
    </row>
    <row r="56" customFormat="false" ht="15" hidden="false" customHeight="true" outlineLevel="0" collapsed="false">
      <c r="A56" s="19" t="s">
        <v>38</v>
      </c>
      <c r="B56" s="20" t="n">
        <v>0</v>
      </c>
    </row>
    <row r="57" customFormat="false" ht="15" hidden="false" customHeight="true" outlineLevel="0" collapsed="false">
      <c r="A57" s="19" t="s">
        <v>47</v>
      </c>
      <c r="B57" s="20" t="n">
        <v>4.33</v>
      </c>
    </row>
    <row r="58" customFormat="false" ht="15" hidden="false" customHeight="true" outlineLevel="0" collapsed="false">
      <c r="A58" s="19" t="s">
        <v>48</v>
      </c>
      <c r="B58" s="20" t="n">
        <v>3.33</v>
      </c>
    </row>
    <row r="59" customFormat="false" ht="15" hidden="false" customHeight="true" outlineLevel="0" collapsed="false">
      <c r="A59" s="19" t="s">
        <v>49</v>
      </c>
      <c r="B59" s="20" t="n">
        <v>3.67</v>
      </c>
    </row>
    <row r="60" customFormat="false" ht="15" hidden="false" customHeight="true" outlineLevel="0" collapsed="false">
      <c r="A60" s="19" t="s">
        <v>50</v>
      </c>
      <c r="B60" s="20" t="n">
        <v>3.14</v>
      </c>
    </row>
    <row r="61" customFormat="false" ht="15" hidden="false" customHeight="true" outlineLevel="0" collapsed="false">
      <c r="A61" s="19" t="s">
        <v>51</v>
      </c>
      <c r="B61" s="20" t="n">
        <v>3.67</v>
      </c>
    </row>
    <row r="64" customFormat="false" ht="21.75" hidden="false" customHeight="true" outlineLevel="0" collapsed="false">
      <c r="A64" s="16" t="s">
        <v>52</v>
      </c>
      <c r="B64" s="16"/>
      <c r="C64" s="16"/>
      <c r="D64" s="16"/>
      <c r="E64" s="16"/>
      <c r="F64" s="16"/>
      <c r="G64" s="16"/>
      <c r="H64" s="16"/>
      <c r="I64" s="16"/>
    </row>
    <row r="65" customFormat="false" ht="15" hidden="false" customHeight="true" outlineLevel="0" collapsed="false">
      <c r="A65" s="17" t="s">
        <v>53</v>
      </c>
      <c r="B65" s="17"/>
      <c r="C65" s="17"/>
      <c r="D65" s="17"/>
      <c r="E65" s="17"/>
      <c r="F65" s="17"/>
      <c r="G65" s="17"/>
      <c r="H65" s="17"/>
      <c r="I65" s="17"/>
    </row>
    <row r="67" customFormat="false" ht="15" hidden="false" customHeight="true" outlineLevel="0" collapsed="false">
      <c r="A67" s="21" t="s">
        <v>54</v>
      </c>
      <c r="B67" s="19"/>
    </row>
    <row r="68" customFormat="false" ht="15" hidden="false" customHeight="true" outlineLevel="0" collapsed="false">
      <c r="A68" s="21" t="s">
        <v>55</v>
      </c>
      <c r="B68" s="19" t="s">
        <v>38</v>
      </c>
    </row>
    <row r="69" customFormat="false" ht="15" hidden="false" customHeight="true" outlineLevel="0" collapsed="false">
      <c r="A69" s="21" t="s">
        <v>56</v>
      </c>
      <c r="B69" s="19" t="s">
        <v>38</v>
      </c>
    </row>
    <row r="70" customFormat="false" ht="15" hidden="false" customHeight="true" outlineLevel="0" collapsed="false">
      <c r="A70" s="21" t="s">
        <v>57</v>
      </c>
      <c r="B70" s="19" t="s">
        <v>38</v>
      </c>
    </row>
    <row r="71" customFormat="false" ht="15" hidden="false" customHeight="true" outlineLevel="0" collapsed="false">
      <c r="A71" s="21" t="s">
        <v>58</v>
      </c>
      <c r="B71" s="22" t="n">
        <v>100</v>
      </c>
    </row>
    <row r="73" customFormat="false" ht="15" hidden="false" customHeight="true" outlineLevel="0" collapsed="false">
      <c r="A73" s="21" t="s">
        <v>59</v>
      </c>
      <c r="B73" s="23" t="n">
        <f aca="false">$B$5</f>
        <v>15</v>
      </c>
    </row>
    <row r="74" customFormat="false" ht="15" hidden="false" customHeight="true" outlineLevel="0" collapsed="false">
      <c r="A74" s="21" t="s">
        <v>60</v>
      </c>
      <c r="B74" s="23" t="n">
        <f aca="false">IFERROR(VLOOKUP(B67,A28:B34,2,FALSE()),0)</f>
        <v>0</v>
      </c>
    </row>
    <row r="75" customFormat="false" ht="15" hidden="false" customHeight="true" outlineLevel="0" collapsed="false">
      <c r="A75" s="21" t="s">
        <v>61</v>
      </c>
      <c r="B75" s="23" t="n">
        <f aca="false">IFERROR(VLOOKUP(B68,A40:B42,2,FALSE()),0)</f>
        <v>0</v>
      </c>
    </row>
    <row r="76" customFormat="false" ht="15" hidden="false" customHeight="true" outlineLevel="0" collapsed="false">
      <c r="A76" s="21" t="s">
        <v>62</v>
      </c>
      <c r="B76" s="23" t="n">
        <f aca="false">IFERROR(VLOOKUP(B69,A48:B50,2,FALSE()),0)</f>
        <v>0</v>
      </c>
    </row>
    <row r="77" customFormat="false" ht="15" hidden="false" customHeight="true" outlineLevel="0" collapsed="false">
      <c r="A77" s="21" t="s">
        <v>63</v>
      </c>
      <c r="B77" s="23" t="n">
        <f aca="false">IFERROR(VLOOKUP(B70,A56:B61,2,FALSE()),0)</f>
        <v>0</v>
      </c>
    </row>
    <row r="78" customFormat="false" ht="15" hidden="false" customHeight="true" outlineLevel="0" collapsed="false">
      <c r="A78" s="21" t="s">
        <v>64</v>
      </c>
      <c r="B78" s="23" t="n">
        <f aca="false">$B$5+IFERROR(VLOOKUP(B67,A28:B34,2,FALSE()),0)+IFERROR(VLOOKUP(B68,A40:B42,2,FALSE()),0)+IFERROR(VLOOKUP(B69,A48:B50,2,FALSE()),0)+IFERROR(VLOOKUP(B70,A56:B61,2,FALSE()),0)</f>
        <v>15</v>
      </c>
    </row>
    <row r="79" customFormat="false" ht="15" hidden="false" customHeight="true" outlineLevel="0" collapsed="false">
      <c r="A79" s="21" t="s">
        <v>65</v>
      </c>
      <c r="B79" s="24" t="n">
        <f aca="false">LOOKUP(B71,A8:A20,B8:B20)</f>
        <v>0.42</v>
      </c>
    </row>
    <row r="80" customFormat="false" ht="15" hidden="false" customHeight="true" outlineLevel="0" collapsed="false">
      <c r="A80" s="21" t="s">
        <v>66</v>
      </c>
      <c r="B80" s="25" t="n">
        <f aca="false">($B$5+IFERROR(VLOOKUP(B67,A28:B34,2,FALSE()),0)+IFERROR(VLOOKUP(B68,A40:B42,2,FALSE()),0)+IFERROR(VLOOKUP(B69,A48:B50,2,FALSE()),0)+IFERROR(VLOOKUP(B70,A56:B61,2,FALSE()),0))*(1-LOOKUP(B71,A8:A20,B8:B20))</f>
        <v>8.7</v>
      </c>
    </row>
    <row r="81" customFormat="false" ht="15" hidden="false" customHeight="true" outlineLevel="0" collapsed="false">
      <c r="A81" s="21" t="s">
        <v>67</v>
      </c>
      <c r="B81" s="25" t="n">
        <f aca="false">B71*($B$5+IFERROR(VLOOKUP(B67,A28:B34,2,FALSE()),0)+IFERROR(VLOOKUP(B68,A40:B42,2,FALSE()),0)+IFERROR(VLOOKUP(B69,A48:B50,2,FALSE()),0)+IFERROR(VLOOKUP(B70,A56:B61,2,FALSE()),0))*(1-LOOKUP(B71,A8:A20,B8:B20))</f>
        <v>870</v>
      </c>
    </row>
    <row r="84" customFormat="false" ht="21.75" hidden="false" customHeight="true" outlineLevel="0" collapsed="false">
      <c r="A84" s="16" t="s">
        <v>68</v>
      </c>
      <c r="B84" s="16"/>
      <c r="C84" s="16"/>
      <c r="D84" s="16"/>
      <c r="E84" s="16"/>
      <c r="F84" s="16"/>
      <c r="G84" s="16"/>
      <c r="H84" s="16"/>
      <c r="I84" s="16"/>
    </row>
    <row r="86" customFormat="false" ht="15" hidden="false" customHeight="true" outlineLevel="0" collapsed="false">
      <c r="A86" s="26" t="s">
        <v>69</v>
      </c>
      <c r="B86" s="26"/>
      <c r="D86" s="26" t="s">
        <v>70</v>
      </c>
      <c r="E86" s="26"/>
      <c r="G86" s="26" t="s">
        <v>71</v>
      </c>
      <c r="H86" s="26"/>
    </row>
    <row r="87" customFormat="false" ht="21.75" hidden="false" customHeight="true" outlineLevel="0" collapsed="false">
      <c r="A87" s="17" t="s">
        <v>72</v>
      </c>
      <c r="B87" s="17"/>
      <c r="D87" s="17" t="s">
        <v>73</v>
      </c>
      <c r="E87" s="17"/>
      <c r="G87" s="17" t="s">
        <v>73</v>
      </c>
      <c r="H87" s="17"/>
    </row>
    <row r="89" customFormat="false" ht="15" hidden="false" customHeight="true" outlineLevel="0" collapsed="false">
      <c r="A89" s="18" t="s">
        <v>74</v>
      </c>
      <c r="B89" s="18" t="s">
        <v>23</v>
      </c>
      <c r="D89" s="18" t="s">
        <v>74</v>
      </c>
      <c r="E89" s="18" t="s">
        <v>23</v>
      </c>
      <c r="G89" s="18" t="s">
        <v>74</v>
      </c>
      <c r="H89" s="18" t="s">
        <v>23</v>
      </c>
    </row>
    <row r="90" customFormat="false" ht="15" hidden="false" customHeight="true" outlineLevel="0" collapsed="false">
      <c r="A90" s="22" t="n">
        <v>30</v>
      </c>
      <c r="B90" s="20" t="n">
        <v>0</v>
      </c>
      <c r="D90" s="22" t="n">
        <v>30</v>
      </c>
      <c r="E90" s="20" t="n">
        <v>0</v>
      </c>
      <c r="G90" s="22" t="n">
        <v>30</v>
      </c>
      <c r="H90" s="20" t="n">
        <v>0</v>
      </c>
    </row>
    <row r="91" customFormat="false" ht="15" hidden="false" customHeight="true" outlineLevel="0" collapsed="false">
      <c r="A91" s="22" t="n">
        <v>32</v>
      </c>
      <c r="B91" s="20" t="n">
        <v>0</v>
      </c>
      <c r="D91" s="22" t="n">
        <v>32</v>
      </c>
      <c r="E91" s="20" t="n">
        <v>0</v>
      </c>
      <c r="G91" s="22" t="n">
        <v>32</v>
      </c>
      <c r="H91" s="20" t="n">
        <v>0</v>
      </c>
    </row>
    <row r="92" customFormat="false" ht="15" hidden="false" customHeight="true" outlineLevel="0" collapsed="false">
      <c r="A92" s="22" t="n">
        <v>34</v>
      </c>
      <c r="B92" s="20" t="n">
        <v>0.17</v>
      </c>
      <c r="D92" s="22" t="n">
        <v>34</v>
      </c>
      <c r="E92" s="20" t="n">
        <v>0.18</v>
      </c>
      <c r="G92" s="22" t="n">
        <v>34</v>
      </c>
      <c r="H92" s="20" t="n">
        <v>0.18</v>
      </c>
    </row>
    <row r="93" customFormat="false" ht="15" hidden="false" customHeight="true" outlineLevel="0" collapsed="false">
      <c r="A93" s="22" t="n">
        <v>36</v>
      </c>
      <c r="B93" s="20" t="n">
        <v>0.17</v>
      </c>
      <c r="D93" s="22" t="n">
        <v>36</v>
      </c>
      <c r="E93" s="20" t="n">
        <v>0.18</v>
      </c>
      <c r="G93" s="22" t="n">
        <v>36</v>
      </c>
      <c r="H93" s="20" t="n">
        <v>0.18</v>
      </c>
    </row>
    <row r="94" customFormat="false" ht="15" hidden="false" customHeight="true" outlineLevel="0" collapsed="false">
      <c r="A94" s="22" t="n">
        <v>38</v>
      </c>
      <c r="B94" s="20" t="n">
        <v>0.34</v>
      </c>
      <c r="D94" s="22" t="n">
        <v>38</v>
      </c>
      <c r="E94" s="20" t="n">
        <v>0.36</v>
      </c>
      <c r="G94" s="22" t="n">
        <v>38</v>
      </c>
      <c r="H94" s="20" t="n">
        <v>0.36</v>
      </c>
    </row>
    <row r="95" customFormat="false" ht="15" hidden="false" customHeight="true" outlineLevel="0" collapsed="false">
      <c r="A95" s="22" t="n">
        <v>40</v>
      </c>
      <c r="B95" s="20" t="n">
        <v>0.34</v>
      </c>
      <c r="D95" s="22" t="n">
        <v>40</v>
      </c>
      <c r="E95" s="20" t="n">
        <v>0.36</v>
      </c>
      <c r="G95" s="22" t="n">
        <v>40</v>
      </c>
      <c r="H95" s="20" t="n">
        <v>0.36</v>
      </c>
    </row>
    <row r="96" customFormat="false" ht="15" hidden="false" customHeight="true" outlineLevel="0" collapsed="false">
      <c r="A96" s="22" t="n">
        <v>42</v>
      </c>
      <c r="B96" s="20" t="n">
        <v>0.51</v>
      </c>
      <c r="D96" s="22" t="n">
        <v>42</v>
      </c>
      <c r="E96" s="20" t="n">
        <v>0.54</v>
      </c>
      <c r="G96" s="22" t="n">
        <v>42</v>
      </c>
      <c r="H96" s="20" t="n">
        <v>0.54</v>
      </c>
    </row>
    <row r="97" customFormat="false" ht="15" hidden="false" customHeight="true" outlineLevel="0" collapsed="false">
      <c r="A97" s="22" t="n">
        <v>44</v>
      </c>
      <c r="B97" s="20" t="n">
        <v>0.51</v>
      </c>
      <c r="D97" s="22" t="n">
        <v>44</v>
      </c>
      <c r="E97" s="20" t="n">
        <v>0.54</v>
      </c>
      <c r="G97" s="22" t="n">
        <v>44</v>
      </c>
      <c r="H97" s="20" t="n">
        <v>0.54</v>
      </c>
    </row>
    <row r="98" customFormat="false" ht="15" hidden="false" customHeight="true" outlineLevel="0" collapsed="false">
      <c r="A98" s="22" t="n">
        <v>46</v>
      </c>
      <c r="B98" s="20" t="n">
        <v>0.68</v>
      </c>
      <c r="D98" s="22" t="n">
        <v>46</v>
      </c>
      <c r="E98" s="20" t="n">
        <v>0.72</v>
      </c>
      <c r="G98" s="22" t="n">
        <v>46</v>
      </c>
      <c r="H98" s="20" t="n">
        <v>0.72</v>
      </c>
    </row>
    <row r="99" customFormat="false" ht="15" hidden="false" customHeight="true" outlineLevel="0" collapsed="false">
      <c r="A99" s="22" t="n">
        <v>48</v>
      </c>
      <c r="B99" s="20" t="n">
        <v>0.68</v>
      </c>
      <c r="D99" s="22" t="n">
        <v>48</v>
      </c>
      <c r="E99" s="20" t="n">
        <v>0.72</v>
      </c>
      <c r="G99" s="22" t="n">
        <v>48</v>
      </c>
      <c r="H99" s="20" t="n">
        <v>0.72</v>
      </c>
    </row>
    <row r="100" customFormat="false" ht="15" hidden="false" customHeight="true" outlineLevel="0" collapsed="false">
      <c r="A100" s="22" t="n">
        <v>50</v>
      </c>
      <c r="B100" s="20" t="n">
        <v>0.85</v>
      </c>
      <c r="D100" s="22" t="n">
        <v>50</v>
      </c>
      <c r="E100" s="20" t="n">
        <v>0.9</v>
      </c>
      <c r="G100" s="22" t="n">
        <v>50</v>
      </c>
      <c r="H100" s="20" t="n">
        <v>0.9</v>
      </c>
    </row>
    <row r="101" customFormat="false" ht="15" hidden="false" customHeight="true" outlineLevel="0" collapsed="false">
      <c r="A101" s="22" t="n">
        <v>52</v>
      </c>
      <c r="B101" s="20" t="n">
        <v>0.85</v>
      </c>
      <c r="D101" s="22" t="n">
        <v>52</v>
      </c>
      <c r="E101" s="20" t="n">
        <v>0.9</v>
      </c>
      <c r="G101" s="22" t="n">
        <v>52</v>
      </c>
      <c r="H101" s="20" t="n">
        <v>0.9</v>
      </c>
    </row>
    <row r="102" customFormat="false" ht="15" hidden="false" customHeight="false" outlineLevel="0" collapsed="false">
      <c r="A102" s="22" t="n">
        <v>54</v>
      </c>
      <c r="B102" s="20" t="n">
        <v>1.02</v>
      </c>
      <c r="D102" s="22" t="n">
        <v>54</v>
      </c>
      <c r="E102" s="20" t="n">
        <v>1.08</v>
      </c>
      <c r="G102" s="22" t="n">
        <v>54</v>
      </c>
      <c r="H102" s="20" t="n">
        <v>1.08</v>
      </c>
    </row>
    <row r="103" customFormat="false" ht="15" hidden="false" customHeight="false" outlineLevel="0" collapsed="false">
      <c r="A103" s="22" t="n">
        <v>56</v>
      </c>
      <c r="B103" s="20" t="n">
        <v>1.02</v>
      </c>
      <c r="D103" s="22" t="n">
        <v>56</v>
      </c>
      <c r="E103" s="20" t="n">
        <v>1.08</v>
      </c>
      <c r="G103" s="22" t="n">
        <v>56</v>
      </c>
      <c r="H103" s="20" t="n">
        <v>1.08</v>
      </c>
    </row>
    <row r="104" customFormat="false" ht="21.75" hidden="false" customHeight="true" outlineLevel="0" collapsed="false">
      <c r="A104" s="22" t="n">
        <v>58</v>
      </c>
      <c r="B104" s="20" t="n">
        <v>1.19</v>
      </c>
      <c r="D104" s="22" t="n">
        <v>58</v>
      </c>
      <c r="E104" s="20" t="n">
        <v>1.26</v>
      </c>
      <c r="G104" s="22" t="n">
        <v>58</v>
      </c>
      <c r="H104" s="20" t="n">
        <v>1.26</v>
      </c>
    </row>
    <row r="105" customFormat="false" ht="15" hidden="false" customHeight="false" outlineLevel="0" collapsed="false">
      <c r="A105" s="22" t="n">
        <v>60</v>
      </c>
      <c r="B105" s="20" t="n">
        <v>1.19</v>
      </c>
      <c r="D105" s="22" t="n">
        <v>60</v>
      </c>
      <c r="E105" s="20" t="n">
        <v>1.26</v>
      </c>
      <c r="G105" s="22" t="n">
        <v>60</v>
      </c>
      <c r="H105" s="20" t="n">
        <v>1.26</v>
      </c>
    </row>
    <row r="106" customFormat="false" ht="15" hidden="false" customHeight="true" outlineLevel="0" collapsed="false">
      <c r="A106" s="22" t="n">
        <v>62</v>
      </c>
      <c r="B106" s="20" t="n">
        <v>1.36</v>
      </c>
      <c r="D106" s="22" t="n">
        <v>62</v>
      </c>
      <c r="E106" s="20" t="n">
        <v>1.44</v>
      </c>
      <c r="G106" s="22" t="n">
        <v>62</v>
      </c>
      <c r="H106" s="20" t="n">
        <v>1.44</v>
      </c>
    </row>
    <row r="107" customFormat="false" ht="21.75" hidden="false" customHeight="true" outlineLevel="0" collapsed="false">
      <c r="A107" s="22" t="n">
        <v>64</v>
      </c>
      <c r="B107" s="20" t="n">
        <v>1.36</v>
      </c>
      <c r="D107" s="22" t="n">
        <v>64</v>
      </c>
      <c r="E107" s="20" t="n">
        <v>1.44</v>
      </c>
      <c r="G107" s="22" t="n">
        <v>64</v>
      </c>
      <c r="H107" s="20" t="n">
        <v>1.44</v>
      </c>
    </row>
    <row r="108" customFormat="false" ht="15" hidden="false" customHeight="false" outlineLevel="0" collapsed="false">
      <c r="A108" s="22" t="n">
        <v>66</v>
      </c>
      <c r="B108" s="20" t="n">
        <v>1.53</v>
      </c>
      <c r="D108" s="22" t="n">
        <v>66</v>
      </c>
      <c r="E108" s="20" t="n">
        <v>1.62</v>
      </c>
      <c r="G108" s="22" t="n">
        <v>66</v>
      </c>
      <c r="H108" s="20" t="n">
        <v>1.62</v>
      </c>
    </row>
    <row r="109" customFormat="false" ht="15" hidden="false" customHeight="true" outlineLevel="0" collapsed="false">
      <c r="A109" s="22" t="n">
        <v>68</v>
      </c>
      <c r="B109" s="20" t="n">
        <v>1.53</v>
      </c>
      <c r="D109" s="22" t="n">
        <v>68</v>
      </c>
      <c r="E109" s="20" t="n">
        <v>1.62</v>
      </c>
      <c r="G109" s="22" t="n">
        <v>68</v>
      </c>
      <c r="H109" s="20" t="n">
        <v>1.62</v>
      </c>
    </row>
    <row r="110" customFormat="false" ht="15" hidden="false" customHeight="true" outlineLevel="0" collapsed="false">
      <c r="A110" s="22" t="n">
        <v>70</v>
      </c>
      <c r="B110" s="20" t="n">
        <v>1.7</v>
      </c>
      <c r="D110" s="22" t="n">
        <v>70</v>
      </c>
      <c r="E110" s="20" t="n">
        <v>1.8</v>
      </c>
      <c r="G110" s="22" t="n">
        <v>70</v>
      </c>
      <c r="H110" s="20" t="n">
        <v>1.8</v>
      </c>
    </row>
    <row r="111" customFormat="false" ht="15" hidden="false" customHeight="true" outlineLevel="0" collapsed="false">
      <c r="A111" s="22" t="n">
        <v>72</v>
      </c>
      <c r="B111" s="20" t="n">
        <v>1.7</v>
      </c>
      <c r="D111" s="22" t="n">
        <v>72</v>
      </c>
      <c r="E111" s="20" t="n">
        <v>1.8</v>
      </c>
      <c r="G111" s="22" t="n">
        <v>72</v>
      </c>
      <c r="H111" s="20" t="n">
        <v>1.8</v>
      </c>
    </row>
    <row r="112" customFormat="false" ht="15" hidden="false" customHeight="true" outlineLevel="0" collapsed="false">
      <c r="A112" s="22" t="n">
        <v>74</v>
      </c>
      <c r="B112" s="20" t="n">
        <v>1.87</v>
      </c>
      <c r="D112" s="22" t="n">
        <v>74</v>
      </c>
      <c r="E112" s="20" t="n">
        <v>1.98</v>
      </c>
      <c r="G112" s="22" t="n">
        <v>74</v>
      </c>
      <c r="H112" s="20" t="n">
        <v>1.98</v>
      </c>
    </row>
    <row r="113" customFormat="false" ht="15" hidden="false" customHeight="true" outlineLevel="0" collapsed="false">
      <c r="A113" s="22" t="n">
        <v>76</v>
      </c>
      <c r="B113" s="20" t="n">
        <v>1.87</v>
      </c>
      <c r="D113" s="22" t="n">
        <v>76</v>
      </c>
      <c r="E113" s="20" t="n">
        <v>1.98</v>
      </c>
      <c r="G113" s="22" t="n">
        <v>76</v>
      </c>
      <c r="H113" s="20" t="n">
        <v>1.98</v>
      </c>
    </row>
    <row r="114" customFormat="false" ht="15" hidden="false" customHeight="true" outlineLevel="0" collapsed="false">
      <c r="A114" s="22" t="n">
        <v>78</v>
      </c>
      <c r="B114" s="20" t="n">
        <v>2.04</v>
      </c>
      <c r="D114" s="22" t="n">
        <v>78</v>
      </c>
      <c r="E114" s="20" t="n">
        <v>2.16</v>
      </c>
      <c r="G114" s="22" t="n">
        <v>78</v>
      </c>
      <c r="H114" s="20" t="n">
        <v>2.16</v>
      </c>
    </row>
    <row r="115" customFormat="false" ht="15" hidden="false" customHeight="true" outlineLevel="0" collapsed="false">
      <c r="A115" s="22" t="n">
        <v>80</v>
      </c>
      <c r="B115" s="20" t="n">
        <v>2.04</v>
      </c>
      <c r="D115" s="22" t="n">
        <v>80</v>
      </c>
      <c r="E115" s="20" t="n">
        <v>2.16</v>
      </c>
      <c r="G115" s="22" t="n">
        <v>80</v>
      </c>
      <c r="H115" s="20" t="n">
        <v>2.16</v>
      </c>
    </row>
    <row r="116" customFormat="false" ht="15" hidden="false" customHeight="true" outlineLevel="0" collapsed="false">
      <c r="A116" s="22" t="n">
        <v>82</v>
      </c>
      <c r="B116" s="20" t="n">
        <v>2.21</v>
      </c>
      <c r="D116" s="22" t="n">
        <v>82</v>
      </c>
      <c r="E116" s="20" t="n">
        <v>2.34</v>
      </c>
      <c r="G116" s="22" t="n">
        <v>82</v>
      </c>
      <c r="H116" s="20" t="n">
        <v>2.34</v>
      </c>
    </row>
    <row r="117" customFormat="false" ht="15" hidden="false" customHeight="true" outlineLevel="0" collapsed="false">
      <c r="A117" s="22" t="n">
        <v>84</v>
      </c>
      <c r="B117" s="20" t="n">
        <v>2.21</v>
      </c>
      <c r="D117" s="22" t="n">
        <v>84</v>
      </c>
      <c r="E117" s="20" t="n">
        <v>2.34</v>
      </c>
      <c r="G117" s="22" t="n">
        <v>84</v>
      </c>
      <c r="H117" s="20" t="n">
        <v>2.34</v>
      </c>
    </row>
    <row r="118" customFormat="false" ht="15" hidden="false" customHeight="true" outlineLevel="0" collapsed="false">
      <c r="A118" s="22" t="n">
        <v>86</v>
      </c>
      <c r="B118" s="20" t="n">
        <v>2.38</v>
      </c>
      <c r="D118" s="22" t="n">
        <v>86</v>
      </c>
      <c r="E118" s="20" t="n">
        <v>2.52</v>
      </c>
      <c r="G118" s="22" t="n">
        <v>86</v>
      </c>
      <c r="H118" s="20" t="n">
        <v>2.52</v>
      </c>
    </row>
    <row r="119" customFormat="false" ht="15" hidden="false" customHeight="true" outlineLevel="0" collapsed="false">
      <c r="A119" s="22" t="n">
        <v>88</v>
      </c>
      <c r="B119" s="20" t="n">
        <v>2.38</v>
      </c>
      <c r="D119" s="22" t="n">
        <v>88</v>
      </c>
      <c r="E119" s="20" t="n">
        <v>2.52</v>
      </c>
      <c r="G119" s="22" t="n">
        <v>88</v>
      </c>
      <c r="H119" s="20" t="n">
        <v>2.52</v>
      </c>
    </row>
    <row r="120" customFormat="false" ht="15" hidden="false" customHeight="true" outlineLevel="0" collapsed="false">
      <c r="A120" s="22" t="n">
        <v>90</v>
      </c>
      <c r="B120" s="20" t="n">
        <v>2.55</v>
      </c>
      <c r="D120" s="22" t="n">
        <v>90</v>
      </c>
      <c r="E120" s="20" t="n">
        <v>2.7</v>
      </c>
      <c r="G120" s="22" t="n">
        <v>90</v>
      </c>
      <c r="H120" s="20" t="n">
        <v>2.7</v>
      </c>
    </row>
    <row r="121" customFormat="false" ht="15" hidden="false" customHeight="true" outlineLevel="0" collapsed="false">
      <c r="A121" s="22" t="n">
        <v>92</v>
      </c>
      <c r="B121" s="20" t="n">
        <v>2.55</v>
      </c>
      <c r="D121" s="22" t="n">
        <v>92</v>
      </c>
      <c r="E121" s="20" t="n">
        <v>2.7</v>
      </c>
      <c r="G121" s="22" t="n">
        <v>92</v>
      </c>
      <c r="H121" s="20" t="n">
        <v>2.7</v>
      </c>
    </row>
    <row r="122" customFormat="false" ht="15" hidden="false" customHeight="false" outlineLevel="0" collapsed="false">
      <c r="A122" s="22" t="n">
        <v>94</v>
      </c>
      <c r="B122" s="20" t="n">
        <v>2.72</v>
      </c>
      <c r="D122" s="22" t="n">
        <v>94</v>
      </c>
      <c r="E122" s="20" t="n">
        <v>2.88</v>
      </c>
      <c r="G122" s="22" t="n">
        <v>94</v>
      </c>
      <c r="H122" s="20" t="n">
        <v>2.88</v>
      </c>
    </row>
    <row r="123" customFormat="false" ht="15" hidden="false" customHeight="false" outlineLevel="0" collapsed="false">
      <c r="A123" s="22" t="n">
        <v>96</v>
      </c>
      <c r="B123" s="20" t="n">
        <v>2.72</v>
      </c>
      <c r="D123" s="22" t="n">
        <v>96</v>
      </c>
      <c r="E123" s="20" t="n">
        <v>2.88</v>
      </c>
      <c r="G123" s="22" t="n">
        <v>96</v>
      </c>
      <c r="H123" s="20" t="n">
        <v>2.88</v>
      </c>
    </row>
    <row r="124" customFormat="false" ht="15" hidden="false" customHeight="false" outlineLevel="0" collapsed="false">
      <c r="A124" s="22" t="n">
        <v>98</v>
      </c>
      <c r="B124" s="20" t="n">
        <v>2.89</v>
      </c>
      <c r="D124" s="22" t="n">
        <v>98</v>
      </c>
      <c r="E124" s="20" t="n">
        <v>3.06</v>
      </c>
      <c r="G124" s="22" t="n">
        <v>98</v>
      </c>
      <c r="H124" s="20" t="n">
        <v>3.06</v>
      </c>
    </row>
    <row r="125" customFormat="false" ht="15" hidden="false" customHeight="false" outlineLevel="0" collapsed="false">
      <c r="A125" s="22" t="n">
        <v>100</v>
      </c>
      <c r="B125" s="20" t="n">
        <v>2.89</v>
      </c>
      <c r="D125" s="22" t="n">
        <v>100</v>
      </c>
      <c r="E125" s="20" t="n">
        <v>3.06</v>
      </c>
      <c r="G125" s="22" t="n">
        <v>100</v>
      </c>
      <c r="H125" s="20" t="n">
        <v>3.06</v>
      </c>
    </row>
    <row r="126" customFormat="false" ht="15" hidden="false" customHeight="false" outlineLevel="0" collapsed="false">
      <c r="A126" s="22" t="n">
        <v>102</v>
      </c>
      <c r="B126" s="20" t="n">
        <v>3.06</v>
      </c>
      <c r="D126" s="22" t="n">
        <v>102</v>
      </c>
      <c r="E126" s="20" t="n">
        <v>3.24</v>
      </c>
      <c r="G126" s="22" t="n">
        <v>102</v>
      </c>
      <c r="H126" s="20" t="n">
        <v>3.24</v>
      </c>
    </row>
    <row r="127" customFormat="false" ht="15" hidden="false" customHeight="false" outlineLevel="0" collapsed="false">
      <c r="A127" s="22" t="n">
        <v>104</v>
      </c>
      <c r="B127" s="20" t="n">
        <v>3.06</v>
      </c>
      <c r="D127" s="22" t="n">
        <v>104</v>
      </c>
      <c r="E127" s="20" t="n">
        <v>3.24</v>
      </c>
      <c r="G127" s="22" t="n">
        <v>104</v>
      </c>
      <c r="H127" s="20" t="n">
        <v>3.24</v>
      </c>
    </row>
    <row r="128" customFormat="false" ht="15" hidden="false" customHeight="false" outlineLevel="0" collapsed="false">
      <c r="A128" s="22" t="n">
        <v>106</v>
      </c>
      <c r="B128" s="20" t="n">
        <v>3.23</v>
      </c>
      <c r="D128" s="22" t="n">
        <v>106</v>
      </c>
      <c r="E128" s="20" t="n">
        <v>3.42</v>
      </c>
      <c r="G128" s="22" t="n">
        <v>106</v>
      </c>
      <c r="H128" s="20" t="n">
        <v>3.42</v>
      </c>
    </row>
    <row r="129" customFormat="false" ht="15" hidden="false" customHeight="false" outlineLevel="0" collapsed="false">
      <c r="A129" s="22" t="n">
        <v>108</v>
      </c>
      <c r="B129" s="20" t="n">
        <v>3.23</v>
      </c>
      <c r="D129" s="22" t="n">
        <v>108</v>
      </c>
      <c r="E129" s="20" t="n">
        <v>3.42</v>
      </c>
      <c r="G129" s="22" t="n">
        <v>108</v>
      </c>
      <c r="H129" s="20" t="n">
        <v>3.42</v>
      </c>
    </row>
    <row r="130" customFormat="false" ht="15" hidden="false" customHeight="false" outlineLevel="0" collapsed="false">
      <c r="A130" s="22" t="n">
        <v>110</v>
      </c>
      <c r="B130" s="20" t="n">
        <v>3.4</v>
      </c>
      <c r="D130" s="22" t="n">
        <v>110</v>
      </c>
      <c r="E130" s="20" t="n">
        <v>3.6</v>
      </c>
      <c r="G130" s="22" t="n">
        <v>110</v>
      </c>
      <c r="H130" s="20" t="n">
        <v>3.6</v>
      </c>
    </row>
    <row r="131" customFormat="false" ht="15" hidden="false" customHeight="false" outlineLevel="0" collapsed="false">
      <c r="A131" s="22" t="n">
        <v>112</v>
      </c>
      <c r="B131" s="20" t="n">
        <v>3.4</v>
      </c>
      <c r="D131" s="22" t="n">
        <v>112</v>
      </c>
      <c r="E131" s="20" t="n">
        <v>3.6</v>
      </c>
      <c r="G131" s="22" t="n">
        <v>112</v>
      </c>
      <c r="H131" s="20" t="n">
        <v>3.6</v>
      </c>
    </row>
    <row r="132" customFormat="false" ht="15" hidden="false" customHeight="false" outlineLevel="0" collapsed="false">
      <c r="A132" s="22" t="n">
        <v>114</v>
      </c>
      <c r="B132" s="20" t="n">
        <v>3.57</v>
      </c>
      <c r="D132" s="22" t="n">
        <v>114</v>
      </c>
      <c r="E132" s="20" t="n">
        <v>3.78</v>
      </c>
      <c r="G132" s="22" t="n">
        <v>114</v>
      </c>
      <c r="H132" s="20" t="n">
        <v>3.78</v>
      </c>
    </row>
    <row r="133" customFormat="false" ht="15" hidden="false" customHeight="false" outlineLevel="0" collapsed="false">
      <c r="A133" s="22" t="n">
        <v>116</v>
      </c>
      <c r="B133" s="20" t="n">
        <v>3.57</v>
      </c>
      <c r="D133" s="22" t="n">
        <v>116</v>
      </c>
      <c r="E133" s="20" t="n">
        <v>3.78</v>
      </c>
      <c r="G133" s="22" t="n">
        <v>116</v>
      </c>
      <c r="H133" s="20" t="n">
        <v>3.78</v>
      </c>
    </row>
    <row r="134" customFormat="false" ht="15" hidden="false" customHeight="false" outlineLevel="0" collapsed="false">
      <c r="A134" s="22" t="n">
        <v>118</v>
      </c>
      <c r="B134" s="20" t="n">
        <v>3.74</v>
      </c>
      <c r="D134" s="22" t="n">
        <v>118</v>
      </c>
      <c r="E134" s="20" t="n">
        <v>3.96</v>
      </c>
      <c r="G134" s="22" t="n">
        <v>118</v>
      </c>
      <c r="H134" s="20" t="n">
        <v>3.96</v>
      </c>
    </row>
    <row r="135" customFormat="false" ht="15" hidden="false" customHeight="false" outlineLevel="0" collapsed="false">
      <c r="A135" s="22" t="n">
        <v>120</v>
      </c>
      <c r="B135" s="20" t="n">
        <v>3.74</v>
      </c>
      <c r="D135" s="22" t="n">
        <v>120</v>
      </c>
      <c r="E135" s="20" t="n">
        <v>3.96</v>
      </c>
      <c r="G135" s="22" t="n">
        <v>120</v>
      </c>
      <c r="H135" s="20" t="n">
        <v>3.96</v>
      </c>
    </row>
    <row r="136" customFormat="false" ht="15" hidden="false" customHeight="false" outlineLevel="0" collapsed="false">
      <c r="A136" s="22" t="n">
        <v>122</v>
      </c>
      <c r="B136" s="20" t="n">
        <v>3.91</v>
      </c>
      <c r="D136" s="22" t="n">
        <v>122</v>
      </c>
      <c r="E136" s="20" t="n">
        <v>4.14</v>
      </c>
      <c r="G136" s="22" t="n">
        <v>122</v>
      </c>
      <c r="H136" s="20" t="n">
        <v>4.14</v>
      </c>
    </row>
    <row r="137" customFormat="false" ht="15" hidden="false" customHeight="false" outlineLevel="0" collapsed="false">
      <c r="A137" s="22" t="n">
        <v>124</v>
      </c>
      <c r="B137" s="20" t="n">
        <v>3.91</v>
      </c>
      <c r="D137" s="22" t="n">
        <v>124</v>
      </c>
      <c r="E137" s="20" t="n">
        <v>4.14</v>
      </c>
      <c r="G137" s="22" t="n">
        <v>124</v>
      </c>
      <c r="H137" s="20" t="n">
        <v>4.14</v>
      </c>
    </row>
    <row r="138" customFormat="false" ht="15" hidden="false" customHeight="false" outlineLevel="0" collapsed="false">
      <c r="A138" s="22" t="n">
        <v>126</v>
      </c>
      <c r="B138" s="20" t="n">
        <v>4.08</v>
      </c>
      <c r="D138" s="22" t="n">
        <v>126</v>
      </c>
      <c r="E138" s="20" t="n">
        <v>4.32</v>
      </c>
      <c r="G138" s="22" t="n">
        <v>126</v>
      </c>
      <c r="H138" s="20" t="n">
        <v>4.32</v>
      </c>
    </row>
    <row r="139" customFormat="false" ht="15" hidden="false" customHeight="false" outlineLevel="0" collapsed="false">
      <c r="A139" s="22" t="n">
        <v>128</v>
      </c>
      <c r="B139" s="20" t="n">
        <v>4.08</v>
      </c>
      <c r="D139" s="22" t="n">
        <v>128</v>
      </c>
      <c r="E139" s="20" t="n">
        <v>4.32</v>
      </c>
      <c r="G139" s="22" t="n">
        <v>128</v>
      </c>
      <c r="H139" s="20" t="n">
        <v>4.32</v>
      </c>
    </row>
    <row r="140" customFormat="false" ht="15" hidden="false" customHeight="false" outlineLevel="0" collapsed="false">
      <c r="A140" s="22" t="n">
        <v>130</v>
      </c>
      <c r="B140" s="20" t="n">
        <v>4.25</v>
      </c>
      <c r="D140" s="22" t="n">
        <v>130</v>
      </c>
      <c r="E140" s="20" t="n">
        <v>4.5</v>
      </c>
      <c r="G140" s="22" t="n">
        <v>130</v>
      </c>
      <c r="H140" s="20" t="n">
        <v>4.5</v>
      </c>
    </row>
    <row r="141" customFormat="false" ht="15" hidden="false" customHeight="false" outlineLevel="0" collapsed="false">
      <c r="A141" s="22" t="n">
        <v>132</v>
      </c>
      <c r="B141" s="20" t="n">
        <v>4.25</v>
      </c>
      <c r="D141" s="22" t="n">
        <v>132</v>
      </c>
      <c r="E141" s="20" t="n">
        <v>4.5</v>
      </c>
      <c r="G141" s="22" t="n">
        <v>132</v>
      </c>
      <c r="H141" s="20" t="n">
        <v>4.5</v>
      </c>
    </row>
    <row r="142" customFormat="false" ht="15" hidden="false" customHeight="false" outlineLevel="0" collapsed="false">
      <c r="A142" s="22" t="n">
        <v>134</v>
      </c>
      <c r="B142" s="20" t="n">
        <v>4.42</v>
      </c>
      <c r="D142" s="22" t="n">
        <v>134</v>
      </c>
      <c r="E142" s="20" t="n">
        <v>4.68</v>
      </c>
      <c r="G142" s="22" t="n">
        <v>134</v>
      </c>
      <c r="H142" s="20" t="n">
        <v>4.68</v>
      </c>
    </row>
    <row r="143" customFormat="false" ht="15" hidden="false" customHeight="false" outlineLevel="0" collapsed="false">
      <c r="A143" s="22" t="n">
        <v>136</v>
      </c>
      <c r="B143" s="20" t="n">
        <v>4.42</v>
      </c>
      <c r="D143" s="22" t="n">
        <v>136</v>
      </c>
      <c r="E143" s="20" t="n">
        <v>4.68</v>
      </c>
      <c r="G143" s="22" t="n">
        <v>136</v>
      </c>
      <c r="H143" s="20" t="n">
        <v>4.68</v>
      </c>
    </row>
    <row r="144" customFormat="false" ht="15" hidden="false" customHeight="false" outlineLevel="0" collapsed="false">
      <c r="A144" s="22" t="n">
        <v>138</v>
      </c>
      <c r="B144" s="20" t="n">
        <v>4.59</v>
      </c>
      <c r="D144" s="22" t="n">
        <v>138</v>
      </c>
      <c r="E144" s="20" t="n">
        <v>4.86</v>
      </c>
      <c r="G144" s="22" t="n">
        <v>138</v>
      </c>
      <c r="H144" s="20" t="n">
        <v>4.86</v>
      </c>
    </row>
    <row r="145" customFormat="false" ht="15" hidden="false" customHeight="false" outlineLevel="0" collapsed="false">
      <c r="A145" s="22" t="n">
        <v>140</v>
      </c>
      <c r="B145" s="20" t="n">
        <v>4.59</v>
      </c>
      <c r="D145" s="22" t="n">
        <v>140</v>
      </c>
      <c r="E145" s="20" t="n">
        <v>4.86</v>
      </c>
      <c r="G145" s="22" t="n">
        <v>140</v>
      </c>
      <c r="H145" s="20" t="n">
        <v>4.86</v>
      </c>
    </row>
    <row r="146" customFormat="false" ht="15" hidden="false" customHeight="false" outlineLevel="0" collapsed="false">
      <c r="A146" s="22" t="n">
        <v>142</v>
      </c>
      <c r="B146" s="20" t="n">
        <v>4.76</v>
      </c>
      <c r="D146" s="22" t="n">
        <v>142</v>
      </c>
      <c r="E146" s="20" t="n">
        <v>5.04</v>
      </c>
      <c r="G146" s="22" t="n">
        <v>142</v>
      </c>
      <c r="H146" s="20" t="n">
        <v>5.04</v>
      </c>
    </row>
    <row r="147" customFormat="false" ht="15" hidden="false" customHeight="false" outlineLevel="0" collapsed="false">
      <c r="A147" s="22" t="n">
        <v>144</v>
      </c>
      <c r="B147" s="20" t="n">
        <v>4.76</v>
      </c>
      <c r="D147" s="22" t="n">
        <v>144</v>
      </c>
      <c r="E147" s="20" t="n">
        <v>5.04</v>
      </c>
      <c r="G147" s="22" t="n">
        <v>144</v>
      </c>
      <c r="H147" s="20" t="n">
        <v>5.04</v>
      </c>
    </row>
    <row r="148" customFormat="false" ht="15" hidden="false" customHeight="false" outlineLevel="0" collapsed="false">
      <c r="A148" s="22" t="n">
        <v>146</v>
      </c>
      <c r="B148" s="20" t="n">
        <v>4.93</v>
      </c>
      <c r="D148" s="22" t="n">
        <v>146</v>
      </c>
      <c r="E148" s="20" t="n">
        <v>5.22</v>
      </c>
      <c r="G148" s="22" t="n">
        <v>146</v>
      </c>
      <c r="H148" s="20" t="n">
        <v>5.22</v>
      </c>
    </row>
    <row r="149" customFormat="false" ht="15" hidden="false" customHeight="false" outlineLevel="0" collapsed="false">
      <c r="A149" s="22" t="n">
        <v>148</v>
      </c>
      <c r="B149" s="20" t="n">
        <v>4.93</v>
      </c>
      <c r="D149" s="22" t="n">
        <v>148</v>
      </c>
      <c r="E149" s="20" t="n">
        <v>5.22</v>
      </c>
      <c r="G149" s="22" t="n">
        <v>148</v>
      </c>
      <c r="H149" s="20" t="n">
        <v>5.22</v>
      </c>
    </row>
    <row r="150" customFormat="false" ht="15" hidden="false" customHeight="false" outlineLevel="0" collapsed="false">
      <c r="A150" s="22" t="n">
        <v>150</v>
      </c>
      <c r="B150" s="20" t="n">
        <v>5.1</v>
      </c>
      <c r="D150" s="22" t="n">
        <v>150</v>
      </c>
      <c r="E150" s="20" t="n">
        <v>5.4</v>
      </c>
      <c r="G150" s="22" t="n">
        <v>150</v>
      </c>
      <c r="H150" s="20" t="n">
        <v>5.4</v>
      </c>
    </row>
    <row r="151" customFormat="false" ht="15" hidden="false" customHeight="false" outlineLevel="0" collapsed="false">
      <c r="A151" s="22" t="n">
        <v>152</v>
      </c>
      <c r="B151" s="20" t="n">
        <v>5.1</v>
      </c>
      <c r="D151" s="22" t="n">
        <v>152</v>
      </c>
      <c r="E151" s="20" t="n">
        <v>5.4</v>
      </c>
      <c r="G151" s="22" t="n">
        <v>152</v>
      </c>
      <c r="H151" s="20" t="n">
        <v>5.4</v>
      </c>
    </row>
    <row r="152" customFormat="false" ht="15" hidden="false" customHeight="false" outlineLevel="0" collapsed="false">
      <c r="A152" s="22" t="n">
        <v>154</v>
      </c>
      <c r="B152" s="20" t="n">
        <v>5.27</v>
      </c>
      <c r="D152" s="22" t="n">
        <v>154</v>
      </c>
      <c r="E152" s="20" t="n">
        <v>5.58</v>
      </c>
      <c r="G152" s="22" t="n">
        <v>154</v>
      </c>
      <c r="H152" s="20" t="n">
        <v>5.58</v>
      </c>
    </row>
    <row r="153" customFormat="false" ht="15" hidden="false" customHeight="false" outlineLevel="0" collapsed="false">
      <c r="A153" s="22" t="n">
        <v>156</v>
      </c>
      <c r="B153" s="20" t="n">
        <v>5.27</v>
      </c>
      <c r="D153" s="22" t="n">
        <v>156</v>
      </c>
      <c r="E153" s="20" t="n">
        <v>5.58</v>
      </c>
      <c r="G153" s="22" t="n">
        <v>156</v>
      </c>
      <c r="H153" s="20" t="n">
        <v>5.58</v>
      </c>
    </row>
    <row r="154" customFormat="false" ht="15" hidden="false" customHeight="false" outlineLevel="0" collapsed="false">
      <c r="A154" s="22" t="n">
        <v>158</v>
      </c>
      <c r="B154" s="20" t="n">
        <v>5.44</v>
      </c>
      <c r="D154" s="22" t="n">
        <v>158</v>
      </c>
      <c r="E154" s="20" t="n">
        <v>5.76</v>
      </c>
      <c r="G154" s="22" t="n">
        <v>158</v>
      </c>
      <c r="H154" s="20" t="n">
        <v>5.76</v>
      </c>
    </row>
    <row r="155" customFormat="false" ht="15" hidden="false" customHeight="false" outlineLevel="0" collapsed="false">
      <c r="A155" s="22" t="n">
        <v>160</v>
      </c>
      <c r="B155" s="20" t="n">
        <v>5.44</v>
      </c>
      <c r="D155" s="22" t="n">
        <v>160</v>
      </c>
      <c r="E155" s="20" t="n">
        <v>5.76</v>
      </c>
      <c r="G155" s="22" t="n">
        <v>160</v>
      </c>
      <c r="H155" s="20" t="n">
        <v>5.76</v>
      </c>
    </row>
    <row r="156" customFormat="false" ht="15" hidden="false" customHeight="false" outlineLevel="0" collapsed="false">
      <c r="A156" s="22" t="n">
        <v>162</v>
      </c>
      <c r="B156" s="20" t="n">
        <v>5.61</v>
      </c>
      <c r="D156" s="22" t="n">
        <v>162</v>
      </c>
      <c r="E156" s="20" t="n">
        <v>5.94</v>
      </c>
      <c r="G156" s="22" t="n">
        <v>162</v>
      </c>
      <c r="H156" s="20" t="n">
        <v>5.94</v>
      </c>
    </row>
    <row r="157" customFormat="false" ht="15" hidden="false" customHeight="false" outlineLevel="0" collapsed="false">
      <c r="A157" s="22" t="n">
        <v>164</v>
      </c>
      <c r="B157" s="20" t="n">
        <v>5.61</v>
      </c>
      <c r="D157" s="22" t="n">
        <v>164</v>
      </c>
      <c r="E157" s="20" t="n">
        <v>5.94</v>
      </c>
      <c r="G157" s="22" t="n">
        <v>164</v>
      </c>
      <c r="H157" s="20" t="n">
        <v>5.94</v>
      </c>
    </row>
    <row r="158" customFormat="false" ht="15" hidden="false" customHeight="false" outlineLevel="0" collapsed="false">
      <c r="A158" s="22" t="n">
        <v>166</v>
      </c>
      <c r="B158" s="20" t="n">
        <v>5.78</v>
      </c>
      <c r="D158" s="22" t="n">
        <v>166</v>
      </c>
      <c r="E158" s="20" t="n">
        <v>6.12</v>
      </c>
      <c r="G158" s="22" t="n">
        <v>166</v>
      </c>
      <c r="H158" s="20" t="n">
        <v>6.12</v>
      </c>
    </row>
    <row r="159" customFormat="false" ht="15" hidden="false" customHeight="false" outlineLevel="0" collapsed="false">
      <c r="A159" s="22" t="n">
        <v>168</v>
      </c>
      <c r="B159" s="20" t="n">
        <v>5.78</v>
      </c>
      <c r="D159" s="22" t="n">
        <v>168</v>
      </c>
      <c r="E159" s="20" t="n">
        <v>6.12</v>
      </c>
      <c r="G159" s="22" t="n">
        <v>168</v>
      </c>
      <c r="H159" s="20" t="n">
        <v>6.12</v>
      </c>
    </row>
    <row r="160" customFormat="false" ht="15" hidden="false" customHeight="false" outlineLevel="0" collapsed="false">
      <c r="A160" s="22" t="n">
        <v>170</v>
      </c>
      <c r="B160" s="20" t="n">
        <v>5.95</v>
      </c>
      <c r="D160" s="22" t="n">
        <v>170</v>
      </c>
      <c r="E160" s="20" t="n">
        <v>6.3</v>
      </c>
      <c r="G160" s="22" t="n">
        <v>170</v>
      </c>
      <c r="H160" s="20" t="n">
        <v>6.3</v>
      </c>
    </row>
    <row r="161" customFormat="false" ht="15" hidden="false" customHeight="false" outlineLevel="0" collapsed="false">
      <c r="A161" s="22" t="n">
        <v>172</v>
      </c>
      <c r="B161" s="20" t="n">
        <v>5.95</v>
      </c>
      <c r="D161" s="22" t="n">
        <v>172</v>
      </c>
      <c r="E161" s="20" t="n">
        <v>6.3</v>
      </c>
      <c r="G161" s="22" t="n">
        <v>172</v>
      </c>
      <c r="H161" s="20" t="n">
        <v>6.3</v>
      </c>
    </row>
    <row r="162" customFormat="false" ht="15" hidden="false" customHeight="false" outlineLevel="0" collapsed="false">
      <c r="A162" s="22" t="n">
        <v>174</v>
      </c>
      <c r="B162" s="20" t="n">
        <v>6.12</v>
      </c>
      <c r="D162" s="22" t="n">
        <v>174</v>
      </c>
      <c r="E162" s="20" t="n">
        <v>6.48</v>
      </c>
      <c r="G162" s="22" t="n">
        <v>174</v>
      </c>
      <c r="H162" s="20" t="n">
        <v>6.48</v>
      </c>
    </row>
    <row r="163" customFormat="false" ht="15" hidden="false" customHeight="false" outlineLevel="0" collapsed="false">
      <c r="A163" s="22" t="n">
        <v>176</v>
      </c>
      <c r="B163" s="20" t="n">
        <v>6.12</v>
      </c>
      <c r="D163" s="22" t="n">
        <v>176</v>
      </c>
      <c r="E163" s="20" t="n">
        <v>6.48</v>
      </c>
      <c r="G163" s="22" t="n">
        <v>176</v>
      </c>
      <c r="H163" s="20" t="n">
        <v>6.48</v>
      </c>
    </row>
    <row r="164" customFormat="false" ht="15" hidden="false" customHeight="false" outlineLevel="0" collapsed="false">
      <c r="A164" s="22" t="n">
        <v>178</v>
      </c>
      <c r="B164" s="20" t="n">
        <v>6.29</v>
      </c>
      <c r="D164" s="22" t="n">
        <v>178</v>
      </c>
      <c r="E164" s="20" t="n">
        <v>6.66</v>
      </c>
      <c r="G164" s="22" t="n">
        <v>178</v>
      </c>
      <c r="H164" s="20" t="n">
        <v>6.66</v>
      </c>
    </row>
    <row r="165" customFormat="false" ht="15" hidden="false" customHeight="false" outlineLevel="0" collapsed="false">
      <c r="A165" s="22" t="n">
        <v>180</v>
      </c>
      <c r="B165" s="20" t="n">
        <v>6.29</v>
      </c>
      <c r="D165" s="22" t="n">
        <v>180</v>
      </c>
      <c r="E165" s="20" t="n">
        <v>6.66</v>
      </c>
      <c r="G165" s="22" t="n">
        <v>180</v>
      </c>
      <c r="H165" s="20" t="n">
        <v>6.66</v>
      </c>
    </row>
    <row r="166" customFormat="false" ht="15" hidden="false" customHeight="false" outlineLevel="0" collapsed="false">
      <c r="A166" s="22" t="n">
        <v>182</v>
      </c>
      <c r="B166" s="20" t="n">
        <v>6.46</v>
      </c>
      <c r="D166" s="22" t="n">
        <v>182</v>
      </c>
      <c r="E166" s="20" t="n">
        <v>6.84</v>
      </c>
      <c r="G166" s="22" t="n">
        <v>182</v>
      </c>
      <c r="H166" s="20" t="n">
        <v>6.84</v>
      </c>
    </row>
    <row r="167" customFormat="false" ht="15" hidden="false" customHeight="false" outlineLevel="0" collapsed="false">
      <c r="A167" s="22" t="n">
        <v>184</v>
      </c>
      <c r="B167" s="20" t="n">
        <v>6.46</v>
      </c>
      <c r="D167" s="22" t="n">
        <v>184</v>
      </c>
      <c r="E167" s="20" t="n">
        <v>6.84</v>
      </c>
      <c r="G167" s="22" t="n">
        <v>184</v>
      </c>
      <c r="H167" s="20" t="n">
        <v>6.84</v>
      </c>
    </row>
    <row r="168" customFormat="false" ht="15" hidden="false" customHeight="false" outlineLevel="0" collapsed="false">
      <c r="A168" s="22" t="n">
        <v>186</v>
      </c>
      <c r="B168" s="20" t="n">
        <v>6.63</v>
      </c>
      <c r="D168" s="22" t="n">
        <v>186</v>
      </c>
      <c r="E168" s="20" t="n">
        <v>7.02</v>
      </c>
      <c r="G168" s="22" t="n">
        <v>186</v>
      </c>
      <c r="H168" s="20" t="n">
        <v>7.02</v>
      </c>
    </row>
    <row r="169" customFormat="false" ht="15" hidden="false" customHeight="false" outlineLevel="0" collapsed="false">
      <c r="A169" s="22" t="n">
        <v>188</v>
      </c>
      <c r="B169" s="20" t="n">
        <v>6.63</v>
      </c>
      <c r="D169" s="22" t="n">
        <v>188</v>
      </c>
      <c r="E169" s="20" t="n">
        <v>7.02</v>
      </c>
      <c r="G169" s="22" t="n">
        <v>188</v>
      </c>
      <c r="H169" s="20" t="n">
        <v>7.02</v>
      </c>
    </row>
    <row r="170" customFormat="false" ht="15" hidden="false" customHeight="false" outlineLevel="0" collapsed="false">
      <c r="A170" s="22" t="n">
        <v>190</v>
      </c>
      <c r="B170" s="20" t="n">
        <v>6.8</v>
      </c>
      <c r="D170" s="22" t="n">
        <v>190</v>
      </c>
      <c r="E170" s="20" t="n">
        <v>7.2</v>
      </c>
      <c r="G170" s="22" t="n">
        <v>190</v>
      </c>
      <c r="H170" s="20" t="n">
        <v>7.2</v>
      </c>
    </row>
    <row r="171" customFormat="false" ht="15" hidden="false" customHeight="false" outlineLevel="0" collapsed="false">
      <c r="A171" s="22" t="n">
        <v>192</v>
      </c>
      <c r="B171" s="20" t="n">
        <v>6.8</v>
      </c>
      <c r="D171" s="22" t="n">
        <v>192</v>
      </c>
      <c r="E171" s="20" t="n">
        <v>7.2</v>
      </c>
      <c r="G171" s="22" t="n">
        <v>192</v>
      </c>
      <c r="H171" s="20" t="n">
        <v>7.2</v>
      </c>
    </row>
    <row r="172" customFormat="false" ht="15" hidden="false" customHeight="false" outlineLevel="0" collapsed="false">
      <c r="A172" s="22" t="n">
        <v>194</v>
      </c>
      <c r="B172" s="20" t="n">
        <v>6.97</v>
      </c>
      <c r="D172" s="22" t="n">
        <v>194</v>
      </c>
      <c r="E172" s="20" t="n">
        <v>7.38</v>
      </c>
      <c r="G172" s="22" t="n">
        <v>194</v>
      </c>
      <c r="H172" s="20" t="n">
        <v>7.38</v>
      </c>
    </row>
    <row r="173" customFormat="false" ht="15" hidden="false" customHeight="false" outlineLevel="0" collapsed="false">
      <c r="A173" s="22" t="n">
        <v>196</v>
      </c>
      <c r="B173" s="20" t="n">
        <v>6.97</v>
      </c>
      <c r="D173" s="22" t="n">
        <v>196</v>
      </c>
      <c r="E173" s="20" t="n">
        <v>7.38</v>
      </c>
      <c r="G173" s="22" t="n">
        <v>196</v>
      </c>
      <c r="H173" s="20" t="n">
        <v>7.38</v>
      </c>
    </row>
    <row r="174" customFormat="false" ht="15" hidden="false" customHeight="false" outlineLevel="0" collapsed="false">
      <c r="A174" s="22" t="n">
        <v>198</v>
      </c>
      <c r="B174" s="20" t="n">
        <v>7.14</v>
      </c>
      <c r="D174" s="22" t="n">
        <v>198</v>
      </c>
      <c r="E174" s="20" t="n">
        <v>7.56</v>
      </c>
      <c r="G174" s="22" t="n">
        <v>198</v>
      </c>
      <c r="H174" s="20" t="n">
        <v>7.56</v>
      </c>
    </row>
    <row r="175" customFormat="false" ht="15" hidden="false" customHeight="false" outlineLevel="0" collapsed="false">
      <c r="A175" s="22" t="n">
        <v>200</v>
      </c>
      <c r="B175" s="20" t="n">
        <v>7.14</v>
      </c>
      <c r="D175" s="22" t="n">
        <v>200</v>
      </c>
      <c r="E175" s="20" t="n">
        <v>7.56</v>
      </c>
      <c r="G175" s="22" t="n">
        <v>200</v>
      </c>
      <c r="H175" s="20" t="n">
        <v>7.56</v>
      </c>
    </row>
    <row r="176" customFormat="false" ht="15" hidden="false" customHeight="false" outlineLevel="0" collapsed="false">
      <c r="A176" s="22" t="n">
        <v>202</v>
      </c>
      <c r="B176" s="20" t="n">
        <v>7.31</v>
      </c>
      <c r="D176" s="22" t="n">
        <v>202</v>
      </c>
      <c r="E176" s="20" t="n">
        <v>7.74</v>
      </c>
      <c r="G176" s="22" t="n">
        <v>202</v>
      </c>
      <c r="H176" s="20" t="n">
        <v>7.74</v>
      </c>
    </row>
    <row r="177" customFormat="false" ht="15" hidden="false" customHeight="false" outlineLevel="0" collapsed="false">
      <c r="A177" s="22" t="n">
        <v>204</v>
      </c>
      <c r="B177" s="20" t="n">
        <v>7.31</v>
      </c>
      <c r="D177" s="22" t="n">
        <v>204</v>
      </c>
      <c r="E177" s="20" t="n">
        <v>7.74</v>
      </c>
      <c r="G177" s="22" t="n">
        <v>204</v>
      </c>
      <c r="H177" s="20" t="n">
        <v>7.74</v>
      </c>
    </row>
    <row r="178" customFormat="false" ht="15" hidden="false" customHeight="false" outlineLevel="0" collapsed="false">
      <c r="A178" s="22" t="n">
        <v>206</v>
      </c>
      <c r="B178" s="20" t="n">
        <v>7.48</v>
      </c>
      <c r="D178" s="22" t="n">
        <v>206</v>
      </c>
      <c r="E178" s="20" t="n">
        <v>7.92</v>
      </c>
      <c r="G178" s="22" t="n">
        <v>206</v>
      </c>
      <c r="H178" s="20" t="n">
        <v>7.92</v>
      </c>
    </row>
    <row r="179" customFormat="false" ht="15" hidden="false" customHeight="false" outlineLevel="0" collapsed="false">
      <c r="A179" s="22" t="n">
        <v>208</v>
      </c>
      <c r="B179" s="20" t="n">
        <v>7.48</v>
      </c>
      <c r="D179" s="22" t="n">
        <v>208</v>
      </c>
      <c r="E179" s="20" t="n">
        <v>7.92</v>
      </c>
      <c r="G179" s="22" t="n">
        <v>208</v>
      </c>
      <c r="H179" s="20" t="n">
        <v>7.92</v>
      </c>
    </row>
    <row r="180" customFormat="false" ht="15" hidden="false" customHeight="false" outlineLevel="0" collapsed="false">
      <c r="A180" s="22" t="n">
        <v>210</v>
      </c>
      <c r="B180" s="20" t="n">
        <v>7.65</v>
      </c>
      <c r="D180" s="22" t="n">
        <v>210</v>
      </c>
      <c r="E180" s="20" t="n">
        <v>8.1</v>
      </c>
      <c r="G180" s="22" t="n">
        <v>210</v>
      </c>
      <c r="H180" s="20" t="n">
        <v>8.1</v>
      </c>
    </row>
    <row r="181" customFormat="false" ht="15" hidden="false" customHeight="false" outlineLevel="0" collapsed="false">
      <c r="A181" s="22" t="n">
        <v>212</v>
      </c>
      <c r="B181" s="20" t="n">
        <v>7.65</v>
      </c>
      <c r="D181" s="22" t="n">
        <v>212</v>
      </c>
      <c r="E181" s="20" t="n">
        <v>8.1</v>
      </c>
      <c r="G181" s="22" t="n">
        <v>212</v>
      </c>
      <c r="H181" s="20" t="n">
        <v>8.1</v>
      </c>
    </row>
    <row r="182" customFormat="false" ht="15" hidden="false" customHeight="false" outlineLevel="0" collapsed="false">
      <c r="A182" s="22" t="n">
        <v>214</v>
      </c>
      <c r="B182" s="20" t="n">
        <v>7.82</v>
      </c>
      <c r="D182" s="22" t="n">
        <v>214</v>
      </c>
      <c r="E182" s="20" t="n">
        <v>8.28</v>
      </c>
      <c r="G182" s="22" t="n">
        <v>214</v>
      </c>
      <c r="H182" s="20" t="n">
        <v>8.28</v>
      </c>
    </row>
    <row r="183" customFormat="false" ht="15" hidden="false" customHeight="false" outlineLevel="0" collapsed="false">
      <c r="A183" s="22" t="n">
        <v>216</v>
      </c>
      <c r="B183" s="20" t="n">
        <v>7.82</v>
      </c>
      <c r="D183" s="22" t="n">
        <v>216</v>
      </c>
      <c r="E183" s="20" t="n">
        <v>8.28</v>
      </c>
      <c r="G183" s="22" t="n">
        <v>216</v>
      </c>
      <c r="H183" s="20" t="n">
        <v>8.28</v>
      </c>
    </row>
    <row r="184" customFormat="false" ht="15" hidden="false" customHeight="false" outlineLevel="0" collapsed="false">
      <c r="A184" s="22" t="n">
        <v>218</v>
      </c>
      <c r="B184" s="20" t="n">
        <v>7.99</v>
      </c>
      <c r="D184" s="22" t="n">
        <v>218</v>
      </c>
      <c r="E184" s="20" t="n">
        <v>8.46</v>
      </c>
      <c r="G184" s="22" t="n">
        <v>218</v>
      </c>
      <c r="H184" s="20" t="n">
        <v>8.46</v>
      </c>
    </row>
    <row r="185" customFormat="false" ht="15" hidden="false" customHeight="false" outlineLevel="0" collapsed="false">
      <c r="A185" s="22" t="n">
        <v>220</v>
      </c>
      <c r="B185" s="20" t="n">
        <v>7.99</v>
      </c>
      <c r="D185" s="22" t="n">
        <v>220</v>
      </c>
      <c r="E185" s="20" t="n">
        <v>8.46</v>
      </c>
      <c r="G185" s="22" t="n">
        <v>220</v>
      </c>
      <c r="H185" s="20" t="n">
        <v>8.46</v>
      </c>
    </row>
    <row r="186" customFormat="false" ht="15" hidden="false" customHeight="false" outlineLevel="0" collapsed="false">
      <c r="A186" s="22" t="n">
        <v>222</v>
      </c>
      <c r="B186" s="20" t="n">
        <v>8.16</v>
      </c>
      <c r="D186" s="22" t="n">
        <v>222</v>
      </c>
      <c r="E186" s="20" t="n">
        <v>8.64</v>
      </c>
      <c r="G186" s="22" t="n">
        <v>222</v>
      </c>
      <c r="H186" s="20" t="n">
        <v>8.64</v>
      </c>
    </row>
    <row r="187" customFormat="false" ht="15" hidden="false" customHeight="false" outlineLevel="0" collapsed="false">
      <c r="A187" s="22" t="n">
        <v>224</v>
      </c>
      <c r="B187" s="20" t="n">
        <v>8.16</v>
      </c>
      <c r="D187" s="22" t="n">
        <v>224</v>
      </c>
      <c r="E187" s="20" t="n">
        <v>8.64</v>
      </c>
      <c r="G187" s="22" t="n">
        <v>224</v>
      </c>
      <c r="H187" s="20" t="n">
        <v>8.64</v>
      </c>
    </row>
    <row r="188" customFormat="false" ht="15" hidden="false" customHeight="false" outlineLevel="0" collapsed="false">
      <c r="A188" s="22" t="n">
        <v>226</v>
      </c>
      <c r="B188" s="20" t="n">
        <v>8.33</v>
      </c>
      <c r="D188" s="22" t="n">
        <v>226</v>
      </c>
      <c r="E188" s="20" t="n">
        <v>8.82</v>
      </c>
      <c r="G188" s="22" t="n">
        <v>226</v>
      </c>
      <c r="H188" s="20" t="n">
        <v>8.82</v>
      </c>
    </row>
    <row r="189" customFormat="false" ht="15" hidden="false" customHeight="false" outlineLevel="0" collapsed="false">
      <c r="A189" s="22" t="n">
        <v>228</v>
      </c>
      <c r="B189" s="20" t="n">
        <v>8.33</v>
      </c>
      <c r="D189" s="22" t="n">
        <v>228</v>
      </c>
      <c r="E189" s="20" t="n">
        <v>8.82</v>
      </c>
      <c r="G189" s="22" t="n">
        <v>228</v>
      </c>
      <c r="H189" s="20" t="n">
        <v>8.82</v>
      </c>
    </row>
    <row r="190" customFormat="false" ht="15" hidden="false" customHeight="false" outlineLevel="0" collapsed="false">
      <c r="A190" s="22" t="n">
        <v>230</v>
      </c>
      <c r="B190" s="20" t="n">
        <v>8.5</v>
      </c>
      <c r="D190" s="22" t="n">
        <v>230</v>
      </c>
      <c r="E190" s="20" t="n">
        <v>9</v>
      </c>
      <c r="G190" s="22" t="n">
        <v>230</v>
      </c>
      <c r="H190" s="20" t="n">
        <v>9</v>
      </c>
    </row>
    <row r="191" customFormat="false" ht="15" hidden="false" customHeight="false" outlineLevel="0" collapsed="false">
      <c r="A191" s="22" t="n">
        <v>232</v>
      </c>
      <c r="B191" s="20" t="n">
        <v>8.5</v>
      </c>
      <c r="D191" s="22" t="n">
        <v>232</v>
      </c>
      <c r="E191" s="20" t="n">
        <v>9</v>
      </c>
      <c r="G191" s="22" t="n">
        <v>232</v>
      </c>
      <c r="H191" s="20" t="n">
        <v>9</v>
      </c>
    </row>
    <row r="192" customFormat="false" ht="15" hidden="false" customHeight="false" outlineLevel="0" collapsed="false">
      <c r="A192" s="22" t="n">
        <v>234</v>
      </c>
      <c r="B192" s="20" t="n">
        <v>8.67</v>
      </c>
      <c r="D192" s="22" t="n">
        <v>234</v>
      </c>
      <c r="E192" s="20" t="n">
        <v>9.18</v>
      </c>
      <c r="G192" s="22" t="n">
        <v>234</v>
      </c>
      <c r="H192" s="20" t="n">
        <v>9.18</v>
      </c>
    </row>
    <row r="193" customFormat="false" ht="15" hidden="false" customHeight="false" outlineLevel="0" collapsed="false">
      <c r="A193" s="22" t="n">
        <v>236</v>
      </c>
      <c r="B193" s="20" t="n">
        <v>8.67</v>
      </c>
      <c r="D193" s="22" t="n">
        <v>236</v>
      </c>
      <c r="E193" s="20" t="n">
        <v>9.18</v>
      </c>
      <c r="G193" s="22" t="n">
        <v>236</v>
      </c>
      <c r="H193" s="20" t="n">
        <v>9.18</v>
      </c>
    </row>
    <row r="194" customFormat="false" ht="15" hidden="false" customHeight="false" outlineLevel="0" collapsed="false">
      <c r="A194" s="22" t="n">
        <v>238</v>
      </c>
      <c r="B194" s="20" t="n">
        <v>8.84</v>
      </c>
      <c r="D194" s="22" t="n">
        <v>238</v>
      </c>
      <c r="E194" s="20" t="n">
        <v>9.36</v>
      </c>
      <c r="G194" s="22" t="n">
        <v>238</v>
      </c>
      <c r="H194" s="20" t="n">
        <v>9.36</v>
      </c>
    </row>
    <row r="195" customFormat="false" ht="15" hidden="false" customHeight="false" outlineLevel="0" collapsed="false">
      <c r="A195" s="22" t="n">
        <v>240</v>
      </c>
      <c r="B195" s="20" t="n">
        <v>8.84</v>
      </c>
      <c r="D195" s="22" t="n">
        <v>240</v>
      </c>
      <c r="E195" s="20" t="n">
        <v>9.36</v>
      </c>
      <c r="G195" s="22" t="n">
        <v>240</v>
      </c>
      <c r="H195" s="20" t="n">
        <v>9.36</v>
      </c>
    </row>
    <row r="196" customFormat="false" ht="15" hidden="false" customHeight="false" outlineLevel="0" collapsed="false">
      <c r="A196" s="22" t="n">
        <v>242</v>
      </c>
      <c r="B196" s="20" t="n">
        <v>9.01</v>
      </c>
      <c r="D196" s="22" t="n">
        <v>242</v>
      </c>
      <c r="E196" s="20" t="n">
        <v>9.54</v>
      </c>
      <c r="G196" s="22" t="n">
        <v>242</v>
      </c>
      <c r="H196" s="20" t="n">
        <v>9.54</v>
      </c>
    </row>
    <row r="197" customFormat="false" ht="15" hidden="false" customHeight="false" outlineLevel="0" collapsed="false">
      <c r="A197" s="22" t="n">
        <v>244</v>
      </c>
      <c r="B197" s="20" t="n">
        <v>9.01</v>
      </c>
      <c r="D197" s="22" t="n">
        <v>244</v>
      </c>
      <c r="E197" s="20" t="n">
        <v>9.54</v>
      </c>
      <c r="G197" s="22" t="n">
        <v>244</v>
      </c>
      <c r="H197" s="20" t="n">
        <v>9.54</v>
      </c>
    </row>
    <row r="198" customFormat="false" ht="15" hidden="false" customHeight="false" outlineLevel="0" collapsed="false">
      <c r="A198" s="22" t="n">
        <v>246</v>
      </c>
      <c r="B198" s="20" t="n">
        <v>9.18</v>
      </c>
      <c r="D198" s="22" t="n">
        <v>246</v>
      </c>
      <c r="E198" s="20" t="n">
        <v>9.72</v>
      </c>
      <c r="G198" s="22" t="n">
        <v>246</v>
      </c>
      <c r="H198" s="20" t="n">
        <v>9.72</v>
      </c>
    </row>
    <row r="199" customFormat="false" ht="15" hidden="false" customHeight="false" outlineLevel="0" collapsed="false">
      <c r="A199" s="22" t="n">
        <v>248</v>
      </c>
      <c r="B199" s="20" t="n">
        <v>9.18</v>
      </c>
      <c r="D199" s="22" t="n">
        <v>248</v>
      </c>
      <c r="E199" s="20" t="n">
        <v>9.72</v>
      </c>
      <c r="G199" s="22" t="n">
        <v>248</v>
      </c>
      <c r="H199" s="20" t="n">
        <v>9.72</v>
      </c>
    </row>
    <row r="200" customFormat="false" ht="15" hidden="false" customHeight="false" outlineLevel="0" collapsed="false">
      <c r="A200" s="22" t="n">
        <v>250</v>
      </c>
      <c r="B200" s="20" t="n">
        <v>9.35</v>
      </c>
      <c r="D200" s="22" t="n">
        <v>250</v>
      </c>
      <c r="E200" s="20" t="n">
        <v>9.9</v>
      </c>
      <c r="G200" s="22" t="n">
        <v>250</v>
      </c>
      <c r="H200" s="20" t="n">
        <v>9.9</v>
      </c>
    </row>
    <row r="201" customFormat="false" ht="15" hidden="false" customHeight="false" outlineLevel="0" collapsed="false">
      <c r="A201" s="22" t="n">
        <v>252</v>
      </c>
      <c r="B201" s="20" t="n">
        <v>9.35</v>
      </c>
      <c r="D201" s="22" t="n">
        <v>252</v>
      </c>
      <c r="E201" s="20" t="n">
        <v>9.9</v>
      </c>
      <c r="G201" s="22" t="n">
        <v>252</v>
      </c>
      <c r="H201" s="20" t="n">
        <v>9.9</v>
      </c>
    </row>
    <row r="202" customFormat="false" ht="15" hidden="false" customHeight="false" outlineLevel="0" collapsed="false">
      <c r="A202" s="22" t="n">
        <v>254</v>
      </c>
      <c r="B202" s="20" t="n">
        <v>9.52</v>
      </c>
      <c r="D202" s="22" t="n">
        <v>254</v>
      </c>
      <c r="E202" s="20" t="n">
        <v>10.08</v>
      </c>
      <c r="G202" s="22" t="n">
        <v>254</v>
      </c>
      <c r="H202" s="20" t="n">
        <v>10.08</v>
      </c>
    </row>
    <row r="203" customFormat="false" ht="15" hidden="false" customHeight="false" outlineLevel="0" collapsed="false">
      <c r="A203" s="22" t="n">
        <v>256</v>
      </c>
      <c r="B203" s="20" t="n">
        <v>9.52</v>
      </c>
      <c r="D203" s="22" t="n">
        <v>256</v>
      </c>
      <c r="E203" s="20" t="n">
        <v>10.08</v>
      </c>
      <c r="G203" s="22" t="n">
        <v>256</v>
      </c>
      <c r="H203" s="20" t="n">
        <v>10.08</v>
      </c>
    </row>
    <row r="204" customFormat="false" ht="15" hidden="false" customHeight="false" outlineLevel="0" collapsed="false">
      <c r="A204" s="22" t="n">
        <v>258</v>
      </c>
      <c r="B204" s="20" t="n">
        <v>9.69</v>
      </c>
      <c r="D204" s="22" t="n">
        <v>258</v>
      </c>
      <c r="E204" s="20" t="n">
        <v>10.26</v>
      </c>
      <c r="G204" s="22" t="n">
        <v>258</v>
      </c>
      <c r="H204" s="20" t="n">
        <v>10.26</v>
      </c>
    </row>
    <row r="205" customFormat="false" ht="15" hidden="false" customHeight="false" outlineLevel="0" collapsed="false">
      <c r="A205" s="22" t="n">
        <v>260</v>
      </c>
      <c r="B205" s="20" t="n">
        <v>9.69</v>
      </c>
      <c r="D205" s="22" t="n">
        <v>260</v>
      </c>
      <c r="E205" s="20" t="n">
        <v>10.26</v>
      </c>
      <c r="G205" s="22" t="n">
        <v>260</v>
      </c>
      <c r="H205" s="20" t="n">
        <v>10.26</v>
      </c>
    </row>
    <row r="206" customFormat="false" ht="15" hidden="false" customHeight="false" outlineLevel="0" collapsed="false">
      <c r="A206" s="22" t="n">
        <v>262</v>
      </c>
      <c r="B206" s="20" t="n">
        <v>9.86</v>
      </c>
      <c r="D206" s="22" t="n">
        <v>262</v>
      </c>
      <c r="E206" s="20" t="n">
        <v>10.44</v>
      </c>
      <c r="G206" s="22" t="n">
        <v>262</v>
      </c>
      <c r="H206" s="20" t="n">
        <v>10.44</v>
      </c>
    </row>
    <row r="207" customFormat="false" ht="15" hidden="false" customHeight="false" outlineLevel="0" collapsed="false">
      <c r="A207" s="22" t="n">
        <v>264</v>
      </c>
      <c r="B207" s="20" t="n">
        <v>9.86</v>
      </c>
      <c r="D207" s="22" t="n">
        <v>264</v>
      </c>
      <c r="E207" s="20" t="n">
        <v>10.44</v>
      </c>
      <c r="G207" s="22" t="n">
        <v>264</v>
      </c>
      <c r="H207" s="20" t="n">
        <v>10.44</v>
      </c>
    </row>
    <row r="208" customFormat="false" ht="15" hidden="false" customHeight="false" outlineLevel="0" collapsed="false">
      <c r="A208" s="22" t="n">
        <v>266</v>
      </c>
      <c r="B208" s="20" t="n">
        <v>10.03</v>
      </c>
      <c r="D208" s="22" t="n">
        <v>266</v>
      </c>
      <c r="E208" s="20" t="n">
        <v>10.62</v>
      </c>
      <c r="G208" s="22" t="n">
        <v>266</v>
      </c>
      <c r="H208" s="20" t="n">
        <v>10.62</v>
      </c>
    </row>
    <row r="209" customFormat="false" ht="15" hidden="false" customHeight="false" outlineLevel="0" collapsed="false">
      <c r="A209" s="22" t="n">
        <v>268</v>
      </c>
      <c r="B209" s="20" t="n">
        <v>10.03</v>
      </c>
      <c r="D209" s="22" t="n">
        <v>268</v>
      </c>
      <c r="E209" s="20" t="n">
        <v>10.62</v>
      </c>
      <c r="G209" s="22" t="n">
        <v>268</v>
      </c>
      <c r="H209" s="20" t="n">
        <v>10.62</v>
      </c>
    </row>
    <row r="210" customFormat="false" ht="15" hidden="false" customHeight="false" outlineLevel="0" collapsed="false">
      <c r="A210" s="22" t="n">
        <v>270</v>
      </c>
      <c r="B210" s="20" t="n">
        <v>10.2</v>
      </c>
      <c r="D210" s="22" t="n">
        <v>270</v>
      </c>
      <c r="E210" s="20" t="n">
        <v>10.8</v>
      </c>
      <c r="G210" s="22" t="n">
        <v>270</v>
      </c>
      <c r="H210" s="20" t="n">
        <v>10.8</v>
      </c>
    </row>
    <row r="211" customFormat="false" ht="15" hidden="false" customHeight="false" outlineLevel="0" collapsed="false">
      <c r="A211" s="22" t="n">
        <v>272</v>
      </c>
      <c r="B211" s="20" t="n">
        <v>10.2</v>
      </c>
      <c r="D211" s="22" t="n">
        <v>272</v>
      </c>
      <c r="E211" s="20" t="n">
        <v>10.8</v>
      </c>
      <c r="G211" s="22" t="n">
        <v>272</v>
      </c>
      <c r="H211" s="20" t="n">
        <v>10.8</v>
      </c>
    </row>
    <row r="212" customFormat="false" ht="15" hidden="false" customHeight="false" outlineLevel="0" collapsed="false">
      <c r="A212" s="22" t="n">
        <v>274</v>
      </c>
      <c r="B212" s="20" t="n">
        <v>10.37</v>
      </c>
      <c r="D212" s="22" t="n">
        <v>274</v>
      </c>
      <c r="E212" s="20" t="n">
        <v>10.98</v>
      </c>
      <c r="G212" s="22" t="n">
        <v>274</v>
      </c>
      <c r="H212" s="20" t="n">
        <v>10.98</v>
      </c>
    </row>
    <row r="213" customFormat="false" ht="15" hidden="false" customHeight="false" outlineLevel="0" collapsed="false">
      <c r="A213" s="22" t="n">
        <v>276</v>
      </c>
      <c r="B213" s="20" t="n">
        <v>10.37</v>
      </c>
      <c r="D213" s="22" t="n">
        <v>276</v>
      </c>
      <c r="E213" s="20" t="n">
        <v>10.98</v>
      </c>
      <c r="G213" s="22" t="n">
        <v>276</v>
      </c>
      <c r="H213" s="20" t="n">
        <v>10.98</v>
      </c>
    </row>
    <row r="214" customFormat="false" ht="15" hidden="false" customHeight="false" outlineLevel="0" collapsed="false">
      <c r="A214" s="22" t="n">
        <v>278</v>
      </c>
      <c r="B214" s="20" t="n">
        <v>10.54</v>
      </c>
      <c r="D214" s="22" t="n">
        <v>278</v>
      </c>
      <c r="E214" s="20" t="n">
        <v>11.16</v>
      </c>
      <c r="G214" s="22" t="n">
        <v>278</v>
      </c>
      <c r="H214" s="20" t="n">
        <v>11.16</v>
      </c>
    </row>
    <row r="215" customFormat="false" ht="15" hidden="false" customHeight="false" outlineLevel="0" collapsed="false">
      <c r="A215" s="22" t="n">
        <v>280</v>
      </c>
      <c r="B215" s="20" t="n">
        <v>10.54</v>
      </c>
      <c r="D215" s="22" t="n">
        <v>280</v>
      </c>
      <c r="E215" s="20" t="n">
        <v>11.16</v>
      </c>
      <c r="G215" s="22" t="n">
        <v>280</v>
      </c>
      <c r="H215" s="20" t="n">
        <v>11.16</v>
      </c>
    </row>
    <row r="216" customFormat="false" ht="15" hidden="false" customHeight="false" outlineLevel="0" collapsed="false">
      <c r="A216" s="22" t="n">
        <v>282</v>
      </c>
      <c r="B216" s="20" t="n">
        <v>10.71</v>
      </c>
      <c r="D216" s="22" t="n">
        <v>282</v>
      </c>
      <c r="E216" s="20" t="n">
        <v>11.34</v>
      </c>
      <c r="G216" s="22" t="n">
        <v>282</v>
      </c>
      <c r="H216" s="20" t="n">
        <v>11.34</v>
      </c>
    </row>
    <row r="217" customFormat="false" ht="15" hidden="false" customHeight="false" outlineLevel="0" collapsed="false">
      <c r="A217" s="22" t="n">
        <v>284</v>
      </c>
      <c r="B217" s="20" t="n">
        <v>10.71</v>
      </c>
      <c r="D217" s="22" t="n">
        <v>284</v>
      </c>
      <c r="E217" s="20" t="n">
        <v>11.34</v>
      </c>
      <c r="G217" s="22" t="n">
        <v>284</v>
      </c>
      <c r="H217" s="20" t="n">
        <v>11.34</v>
      </c>
    </row>
    <row r="218" customFormat="false" ht="15" hidden="false" customHeight="false" outlineLevel="0" collapsed="false">
      <c r="A218" s="22" t="n">
        <v>286</v>
      </c>
      <c r="B218" s="20" t="n">
        <v>10.88</v>
      </c>
      <c r="D218" s="22" t="n">
        <v>286</v>
      </c>
      <c r="E218" s="20" t="n">
        <v>11.52</v>
      </c>
      <c r="G218" s="22" t="n">
        <v>286</v>
      </c>
      <c r="H218" s="20" t="n">
        <v>11.52</v>
      </c>
    </row>
    <row r="219" customFormat="false" ht="15" hidden="false" customHeight="false" outlineLevel="0" collapsed="false">
      <c r="A219" s="22" t="n">
        <v>288</v>
      </c>
      <c r="B219" s="20" t="n">
        <v>10.88</v>
      </c>
      <c r="D219" s="22" t="n">
        <v>288</v>
      </c>
      <c r="E219" s="20" t="n">
        <v>11.52</v>
      </c>
      <c r="G219" s="22" t="n">
        <v>288</v>
      </c>
      <c r="H219" s="20" t="n">
        <v>11.52</v>
      </c>
    </row>
    <row r="220" customFormat="false" ht="15" hidden="false" customHeight="false" outlineLevel="0" collapsed="false">
      <c r="A220" s="22" t="n">
        <v>290</v>
      </c>
      <c r="B220" s="20" t="n">
        <v>11.05</v>
      </c>
      <c r="D220" s="22" t="n">
        <v>290</v>
      </c>
      <c r="E220" s="20" t="n">
        <v>11.7</v>
      </c>
      <c r="G220" s="22" t="n">
        <v>290</v>
      </c>
      <c r="H220" s="20" t="n">
        <v>11.7</v>
      </c>
    </row>
    <row r="221" customFormat="false" ht="15" hidden="false" customHeight="false" outlineLevel="0" collapsed="false">
      <c r="A221" s="22" t="n">
        <v>292</v>
      </c>
      <c r="B221" s="20" t="n">
        <v>11.05</v>
      </c>
      <c r="D221" s="22" t="n">
        <v>292</v>
      </c>
      <c r="E221" s="20" t="n">
        <v>11.7</v>
      </c>
      <c r="G221" s="22" t="n">
        <v>292</v>
      </c>
      <c r="H221" s="20" t="n">
        <v>11.7</v>
      </c>
    </row>
    <row r="222" customFormat="false" ht="15" hidden="false" customHeight="false" outlineLevel="0" collapsed="false">
      <c r="A222" s="22" t="n">
        <v>294</v>
      </c>
      <c r="B222" s="20" t="n">
        <v>11.22</v>
      </c>
      <c r="D222" s="22" t="n">
        <v>294</v>
      </c>
      <c r="E222" s="20" t="n">
        <v>11.88</v>
      </c>
      <c r="G222" s="22" t="n">
        <v>294</v>
      </c>
      <c r="H222" s="20" t="n">
        <v>11.88</v>
      </c>
    </row>
    <row r="223" customFormat="false" ht="15" hidden="false" customHeight="false" outlineLevel="0" collapsed="false">
      <c r="A223" s="22" t="n">
        <v>296</v>
      </c>
      <c r="B223" s="20" t="n">
        <v>11.22</v>
      </c>
      <c r="D223" s="22" t="n">
        <v>296</v>
      </c>
      <c r="E223" s="20" t="n">
        <v>11.88</v>
      </c>
      <c r="G223" s="22" t="n">
        <v>296</v>
      </c>
      <c r="H223" s="20" t="n">
        <v>11.88</v>
      </c>
    </row>
    <row r="224" customFormat="false" ht="15" hidden="false" customHeight="false" outlineLevel="0" collapsed="false">
      <c r="A224" s="22" t="n">
        <v>298</v>
      </c>
      <c r="B224" s="20" t="n">
        <v>11.39</v>
      </c>
      <c r="D224" s="22" t="n">
        <v>298</v>
      </c>
      <c r="E224" s="20" t="n">
        <v>12.06</v>
      </c>
      <c r="G224" s="22" t="n">
        <v>298</v>
      </c>
      <c r="H224" s="20" t="n">
        <v>12.06</v>
      </c>
    </row>
    <row r="225" customFormat="false" ht="15" hidden="false" customHeight="false" outlineLevel="0" collapsed="false">
      <c r="A225" s="22" t="n">
        <v>300</v>
      </c>
      <c r="B225" s="20" t="n">
        <v>11.39</v>
      </c>
      <c r="D225" s="22" t="n">
        <v>300</v>
      </c>
      <c r="E225" s="20" t="n">
        <v>12.06</v>
      </c>
      <c r="G225" s="22" t="n">
        <v>300</v>
      </c>
      <c r="H225" s="20" t="n">
        <v>12.06</v>
      </c>
    </row>
    <row r="226" customFormat="false" ht="15" hidden="false" customHeight="false" outlineLevel="0" collapsed="false">
      <c r="A226" s="22" t="n">
        <v>302</v>
      </c>
      <c r="B226" s="20" t="n">
        <v>11.56</v>
      </c>
      <c r="D226" s="22" t="n">
        <v>302</v>
      </c>
      <c r="E226" s="20" t="n">
        <v>12.24</v>
      </c>
      <c r="G226" s="22" t="n">
        <v>302</v>
      </c>
      <c r="H226" s="20" t="n">
        <v>12.24</v>
      </c>
    </row>
    <row r="227" customFormat="false" ht="15" hidden="false" customHeight="false" outlineLevel="0" collapsed="false">
      <c r="A227" s="22" t="n">
        <v>304</v>
      </c>
      <c r="B227" s="20" t="n">
        <v>11.56</v>
      </c>
      <c r="D227" s="22" t="n">
        <v>304</v>
      </c>
      <c r="E227" s="20" t="n">
        <v>12.24</v>
      </c>
      <c r="G227" s="22" t="n">
        <v>304</v>
      </c>
      <c r="H227" s="20" t="n">
        <v>12.24</v>
      </c>
    </row>
    <row r="228" customFormat="false" ht="15" hidden="false" customHeight="false" outlineLevel="0" collapsed="false">
      <c r="A228" s="22" t="n">
        <v>306</v>
      </c>
      <c r="B228" s="20" t="n">
        <v>11.73</v>
      </c>
      <c r="D228" s="22" t="n">
        <v>306</v>
      </c>
      <c r="E228" s="20" t="n">
        <v>12.42</v>
      </c>
      <c r="G228" s="22" t="n">
        <v>306</v>
      </c>
      <c r="H228" s="20" t="n">
        <v>12.42</v>
      </c>
    </row>
    <row r="229" customFormat="false" ht="15" hidden="false" customHeight="false" outlineLevel="0" collapsed="false">
      <c r="A229" s="22" t="n">
        <v>308</v>
      </c>
      <c r="B229" s="20" t="n">
        <v>11.73</v>
      </c>
      <c r="D229" s="22" t="n">
        <v>308</v>
      </c>
      <c r="E229" s="20" t="n">
        <v>12.42</v>
      </c>
      <c r="G229" s="22" t="n">
        <v>308</v>
      </c>
      <c r="H229" s="20" t="n">
        <v>12.42</v>
      </c>
    </row>
    <row r="230" customFormat="false" ht="15" hidden="false" customHeight="false" outlineLevel="0" collapsed="false">
      <c r="A230" s="22" t="n">
        <v>310</v>
      </c>
      <c r="B230" s="20" t="n">
        <v>11.9</v>
      </c>
      <c r="D230" s="22" t="n">
        <v>310</v>
      </c>
      <c r="E230" s="20" t="n">
        <v>12.6</v>
      </c>
      <c r="G230" s="22" t="n">
        <v>310</v>
      </c>
      <c r="H230" s="20" t="n">
        <v>12.6</v>
      </c>
    </row>
    <row r="231" customFormat="false" ht="15" hidden="false" customHeight="false" outlineLevel="0" collapsed="false">
      <c r="A231" s="22" t="n">
        <v>312</v>
      </c>
      <c r="B231" s="20" t="n">
        <v>11.9</v>
      </c>
      <c r="D231" s="22" t="n">
        <v>312</v>
      </c>
      <c r="E231" s="20" t="n">
        <v>12.6</v>
      </c>
      <c r="G231" s="22" t="n">
        <v>312</v>
      </c>
      <c r="H231" s="20" t="n">
        <v>12.6</v>
      </c>
    </row>
    <row r="232" customFormat="false" ht="15" hidden="false" customHeight="false" outlineLevel="0" collapsed="false">
      <c r="A232" s="22" t="n">
        <v>314</v>
      </c>
      <c r="B232" s="20" t="n">
        <v>12.07</v>
      </c>
      <c r="D232" s="22" t="n">
        <v>314</v>
      </c>
      <c r="E232" s="20" t="n">
        <v>12.78</v>
      </c>
      <c r="G232" s="22" t="n">
        <v>314</v>
      </c>
      <c r="H232" s="20" t="n">
        <v>12.78</v>
      </c>
    </row>
    <row r="233" customFormat="false" ht="15" hidden="false" customHeight="false" outlineLevel="0" collapsed="false">
      <c r="A233" s="22" t="n">
        <v>316</v>
      </c>
      <c r="B233" s="20" t="n">
        <v>12.07</v>
      </c>
      <c r="D233" s="22" t="n">
        <v>316</v>
      </c>
      <c r="E233" s="20" t="n">
        <v>12.78</v>
      </c>
      <c r="G233" s="22" t="n">
        <v>316</v>
      </c>
      <c r="H233" s="20" t="n">
        <v>12.78</v>
      </c>
    </row>
    <row r="234" customFormat="false" ht="15" hidden="false" customHeight="false" outlineLevel="0" collapsed="false">
      <c r="A234" s="22" t="n">
        <v>318</v>
      </c>
      <c r="B234" s="20" t="n">
        <v>12.24</v>
      </c>
      <c r="D234" s="22" t="n">
        <v>318</v>
      </c>
      <c r="E234" s="20" t="n">
        <v>12.96</v>
      </c>
      <c r="G234" s="22" t="n">
        <v>318</v>
      </c>
      <c r="H234" s="20" t="n">
        <v>12.96</v>
      </c>
    </row>
    <row r="235" customFormat="false" ht="15" hidden="false" customHeight="false" outlineLevel="0" collapsed="false">
      <c r="A235" s="22" t="n">
        <v>320</v>
      </c>
      <c r="B235" s="20" t="n">
        <v>12.24</v>
      </c>
      <c r="D235" s="22" t="n">
        <v>320</v>
      </c>
      <c r="E235" s="20" t="n">
        <v>12.96</v>
      </c>
      <c r="G235" s="22" t="n">
        <v>320</v>
      </c>
      <c r="H235" s="20" t="n">
        <v>12.96</v>
      </c>
    </row>
    <row r="236" customFormat="false" ht="15" hidden="false" customHeight="false" outlineLevel="0" collapsed="false">
      <c r="A236" s="22" t="n">
        <v>322</v>
      </c>
      <c r="B236" s="20" t="n">
        <v>12.41</v>
      </c>
      <c r="D236" s="22" t="n">
        <v>322</v>
      </c>
      <c r="E236" s="20" t="n">
        <v>13.14</v>
      </c>
      <c r="G236" s="22" t="n">
        <v>322</v>
      </c>
      <c r="H236" s="20" t="n">
        <v>13.14</v>
      </c>
    </row>
    <row r="237" customFormat="false" ht="15" hidden="false" customHeight="false" outlineLevel="0" collapsed="false">
      <c r="A237" s="22" t="n">
        <v>324</v>
      </c>
      <c r="B237" s="20" t="n">
        <v>12.41</v>
      </c>
      <c r="D237" s="22" t="n">
        <v>324</v>
      </c>
      <c r="E237" s="20" t="n">
        <v>13.14</v>
      </c>
      <c r="G237" s="22" t="n">
        <v>324</v>
      </c>
      <c r="H237" s="20" t="n">
        <v>13.14</v>
      </c>
    </row>
    <row r="238" customFormat="false" ht="15" hidden="false" customHeight="false" outlineLevel="0" collapsed="false">
      <c r="A238" s="22" t="n">
        <v>326</v>
      </c>
      <c r="B238" s="20" t="n">
        <v>12.58</v>
      </c>
      <c r="D238" s="22" t="n">
        <v>326</v>
      </c>
      <c r="E238" s="20" t="n">
        <v>13.32</v>
      </c>
      <c r="G238" s="22" t="n">
        <v>326</v>
      </c>
      <c r="H238" s="20" t="n">
        <v>13.32</v>
      </c>
    </row>
    <row r="239" customFormat="false" ht="15" hidden="false" customHeight="false" outlineLevel="0" collapsed="false">
      <c r="A239" s="22" t="n">
        <v>328</v>
      </c>
      <c r="B239" s="20" t="n">
        <v>12.58</v>
      </c>
      <c r="D239" s="22" t="n">
        <v>328</v>
      </c>
      <c r="E239" s="20" t="n">
        <v>13.32</v>
      </c>
      <c r="G239" s="22" t="n">
        <v>328</v>
      </c>
      <c r="H239" s="20" t="n">
        <v>13.32</v>
      </c>
    </row>
    <row r="240" customFormat="false" ht="15" hidden="false" customHeight="false" outlineLevel="0" collapsed="false">
      <c r="A240" s="22" t="n">
        <v>330</v>
      </c>
      <c r="B240" s="20" t="n">
        <v>12.75</v>
      </c>
      <c r="D240" s="22" t="n">
        <v>330</v>
      </c>
      <c r="E240" s="20" t="n">
        <v>13.5</v>
      </c>
      <c r="G240" s="22" t="n">
        <v>330</v>
      </c>
      <c r="H240" s="20" t="n">
        <v>13.5</v>
      </c>
    </row>
    <row r="241" customFormat="false" ht="15" hidden="false" customHeight="false" outlineLevel="0" collapsed="false">
      <c r="A241" s="22" t="n">
        <v>332</v>
      </c>
      <c r="B241" s="20" t="n">
        <v>12.75</v>
      </c>
      <c r="D241" s="22" t="n">
        <v>332</v>
      </c>
      <c r="E241" s="20" t="n">
        <v>13.5</v>
      </c>
      <c r="G241" s="22" t="n">
        <v>332</v>
      </c>
      <c r="H241" s="20" t="n">
        <v>13.5</v>
      </c>
    </row>
    <row r="242" customFormat="false" ht="15" hidden="false" customHeight="false" outlineLevel="0" collapsed="false">
      <c r="A242" s="22" t="n">
        <v>334</v>
      </c>
      <c r="B242" s="20" t="n">
        <v>12.92</v>
      </c>
      <c r="D242" s="22" t="n">
        <v>334</v>
      </c>
      <c r="E242" s="20" t="n">
        <v>13.68</v>
      </c>
      <c r="G242" s="22" t="n">
        <v>334</v>
      </c>
      <c r="H242" s="20" t="n">
        <v>13.68</v>
      </c>
    </row>
    <row r="243" customFormat="false" ht="15" hidden="false" customHeight="false" outlineLevel="0" collapsed="false">
      <c r="A243" s="22" t="n">
        <v>336</v>
      </c>
      <c r="B243" s="20" t="n">
        <v>12.92</v>
      </c>
      <c r="D243" s="22" t="n">
        <v>336</v>
      </c>
      <c r="E243" s="20" t="n">
        <v>13.68</v>
      </c>
      <c r="G243" s="22" t="n">
        <v>336</v>
      </c>
      <c r="H243" s="20" t="n">
        <v>13.68</v>
      </c>
    </row>
    <row r="244" customFormat="false" ht="15" hidden="false" customHeight="false" outlineLevel="0" collapsed="false">
      <c r="A244" s="22" t="n">
        <v>338</v>
      </c>
      <c r="B244" s="20" t="n">
        <v>13.09</v>
      </c>
      <c r="D244" s="22" t="n">
        <v>338</v>
      </c>
      <c r="E244" s="20" t="n">
        <v>13.86</v>
      </c>
      <c r="G244" s="22" t="n">
        <v>338</v>
      </c>
      <c r="H244" s="20" t="n">
        <v>13.86</v>
      </c>
    </row>
    <row r="245" customFormat="false" ht="15" hidden="false" customHeight="false" outlineLevel="0" collapsed="false">
      <c r="A245" s="22" t="n">
        <v>340</v>
      </c>
      <c r="B245" s="20" t="n">
        <v>13.09</v>
      </c>
      <c r="D245" s="22" t="n">
        <v>340</v>
      </c>
      <c r="E245" s="20" t="n">
        <v>13.86</v>
      </c>
      <c r="G245" s="22" t="n">
        <v>340</v>
      </c>
      <c r="H245" s="20" t="n">
        <v>13.86</v>
      </c>
    </row>
    <row r="246" customFormat="false" ht="15" hidden="false" customHeight="false" outlineLevel="0" collapsed="false">
      <c r="A246" s="22" t="n">
        <v>342</v>
      </c>
      <c r="B246" s="20" t="n">
        <v>13.26</v>
      </c>
      <c r="D246" s="22" t="n">
        <v>342</v>
      </c>
      <c r="E246" s="20" t="n">
        <v>14.04</v>
      </c>
      <c r="G246" s="22" t="n">
        <v>342</v>
      </c>
      <c r="H246" s="20" t="n">
        <v>14.04</v>
      </c>
    </row>
    <row r="247" customFormat="false" ht="15" hidden="false" customHeight="false" outlineLevel="0" collapsed="false">
      <c r="A247" s="22" t="n">
        <v>344</v>
      </c>
      <c r="B247" s="20" t="n">
        <v>13.26</v>
      </c>
      <c r="D247" s="22" t="n">
        <v>344</v>
      </c>
      <c r="E247" s="20" t="n">
        <v>14.04</v>
      </c>
      <c r="G247" s="22" t="n">
        <v>344</v>
      </c>
      <c r="H247" s="20" t="n">
        <v>14.04</v>
      </c>
    </row>
    <row r="248" customFormat="false" ht="15" hidden="false" customHeight="false" outlineLevel="0" collapsed="false">
      <c r="A248" s="22" t="n">
        <v>346</v>
      </c>
      <c r="B248" s="20" t="n">
        <v>13.43</v>
      </c>
      <c r="D248" s="22" t="n">
        <v>346</v>
      </c>
      <c r="E248" s="20" t="n">
        <v>14.22</v>
      </c>
      <c r="G248" s="22" t="n">
        <v>346</v>
      </c>
      <c r="H248" s="20" t="n">
        <v>14.22</v>
      </c>
    </row>
    <row r="249" customFormat="false" ht="15" hidden="false" customHeight="false" outlineLevel="0" collapsed="false">
      <c r="A249" s="22" t="n">
        <v>348</v>
      </c>
      <c r="B249" s="20" t="n">
        <v>13.43</v>
      </c>
      <c r="D249" s="22" t="n">
        <v>348</v>
      </c>
      <c r="E249" s="20" t="n">
        <v>14.22</v>
      </c>
      <c r="G249" s="22" t="n">
        <v>348</v>
      </c>
      <c r="H249" s="20" t="n">
        <v>14.22</v>
      </c>
    </row>
    <row r="250" customFormat="false" ht="15" hidden="false" customHeight="false" outlineLevel="0" collapsed="false">
      <c r="A250" s="22" t="n">
        <v>350</v>
      </c>
      <c r="B250" s="20" t="n">
        <v>13.6</v>
      </c>
      <c r="D250" s="22" t="n">
        <v>350</v>
      </c>
      <c r="E250" s="20" t="n">
        <v>14.4</v>
      </c>
      <c r="G250" s="22" t="n">
        <v>350</v>
      </c>
      <c r="H250" s="20" t="n">
        <v>14.4</v>
      </c>
    </row>
    <row r="251" customFormat="false" ht="17.35" hidden="false" customHeight="false" outlineLevel="0" collapsed="false">
      <c r="A251" s="16" t="s">
        <v>75</v>
      </c>
      <c r="B251" s="16"/>
      <c r="C251" s="16"/>
      <c r="D251" s="16"/>
      <c r="E251" s="16"/>
      <c r="F251" s="16"/>
      <c r="G251" s="16"/>
      <c r="H251" s="16"/>
      <c r="I251" s="16"/>
    </row>
    <row r="253" customFormat="false" ht="15" hidden="false" customHeight="false" outlineLevel="0" collapsed="false">
      <c r="A253" s="26" t="s">
        <v>76</v>
      </c>
      <c r="B253" s="26"/>
      <c r="D253" s="26" t="s">
        <v>77</v>
      </c>
      <c r="E253" s="26"/>
      <c r="G253" s="26" t="s">
        <v>78</v>
      </c>
      <c r="H253" s="26"/>
    </row>
    <row r="254" customFormat="false" ht="22.35" hidden="false" customHeight="true" outlineLevel="0" collapsed="false">
      <c r="A254" s="17" t="s">
        <v>79</v>
      </c>
      <c r="B254" s="17"/>
      <c r="D254" s="17" t="s">
        <v>80</v>
      </c>
      <c r="E254" s="17"/>
      <c r="G254" s="17" t="s">
        <v>80</v>
      </c>
      <c r="H254" s="17"/>
    </row>
    <row r="256" customFormat="false" ht="15" hidden="false" customHeight="false" outlineLevel="0" collapsed="false">
      <c r="A256" s="18" t="s">
        <v>74</v>
      </c>
      <c r="B256" s="18" t="s">
        <v>23</v>
      </c>
      <c r="D256" s="18" t="s">
        <v>74</v>
      </c>
      <c r="E256" s="18" t="s">
        <v>23</v>
      </c>
      <c r="G256" s="18" t="s">
        <v>74</v>
      </c>
      <c r="H256" s="18" t="s">
        <v>23</v>
      </c>
    </row>
    <row r="257" customFormat="false" ht="15" hidden="false" customHeight="false" outlineLevel="0" collapsed="false">
      <c r="A257" s="22" t="n">
        <v>30</v>
      </c>
      <c r="B257" s="20" t="n">
        <v>0</v>
      </c>
      <c r="D257" s="22" t="n">
        <v>30</v>
      </c>
      <c r="E257" s="20" t="n">
        <v>0</v>
      </c>
      <c r="G257" s="22" t="n">
        <v>30</v>
      </c>
      <c r="H257" s="20" t="n">
        <v>0</v>
      </c>
    </row>
    <row r="258" customFormat="false" ht="15" hidden="false" customHeight="false" outlineLevel="0" collapsed="false">
      <c r="A258" s="22" t="n">
        <v>32</v>
      </c>
      <c r="B258" s="20" t="n">
        <v>0</v>
      </c>
      <c r="D258" s="22" t="n">
        <v>32</v>
      </c>
      <c r="E258" s="20" t="n">
        <v>0</v>
      </c>
      <c r="G258" s="22" t="n">
        <v>32</v>
      </c>
      <c r="H258" s="20" t="n">
        <v>0</v>
      </c>
    </row>
    <row r="259" customFormat="false" ht="15" hidden="false" customHeight="false" outlineLevel="0" collapsed="false">
      <c r="A259" s="22" t="n">
        <v>34</v>
      </c>
      <c r="B259" s="20" t="n">
        <v>0.26</v>
      </c>
      <c r="D259" s="22" t="n">
        <v>34</v>
      </c>
      <c r="E259" s="20" t="n">
        <v>0.28</v>
      </c>
      <c r="G259" s="22" t="n">
        <v>34</v>
      </c>
      <c r="H259" s="20" t="n">
        <v>0.28</v>
      </c>
    </row>
    <row r="260" customFormat="false" ht="15" hidden="false" customHeight="false" outlineLevel="0" collapsed="false">
      <c r="A260" s="22" t="n">
        <v>36</v>
      </c>
      <c r="B260" s="20" t="n">
        <v>0.26</v>
      </c>
      <c r="D260" s="22" t="n">
        <v>36</v>
      </c>
      <c r="E260" s="20" t="n">
        <v>0.28</v>
      </c>
      <c r="G260" s="22" t="n">
        <v>36</v>
      </c>
      <c r="H260" s="20" t="n">
        <v>0.28</v>
      </c>
    </row>
    <row r="261" customFormat="false" ht="15" hidden="false" customHeight="false" outlineLevel="0" collapsed="false">
      <c r="A261" s="22" t="n">
        <v>38</v>
      </c>
      <c r="B261" s="20" t="n">
        <v>0.52</v>
      </c>
      <c r="D261" s="22" t="n">
        <v>38</v>
      </c>
      <c r="E261" s="20" t="n">
        <v>0.56</v>
      </c>
      <c r="G261" s="22" t="n">
        <v>38</v>
      </c>
      <c r="H261" s="20" t="n">
        <v>0.56</v>
      </c>
    </row>
    <row r="262" customFormat="false" ht="15" hidden="false" customHeight="false" outlineLevel="0" collapsed="false">
      <c r="A262" s="22" t="n">
        <v>40</v>
      </c>
      <c r="B262" s="20" t="n">
        <v>0.52</v>
      </c>
      <c r="D262" s="22" t="n">
        <v>40</v>
      </c>
      <c r="E262" s="20" t="n">
        <v>0.56</v>
      </c>
      <c r="G262" s="22" t="n">
        <v>40</v>
      </c>
      <c r="H262" s="20" t="n">
        <v>0.56</v>
      </c>
    </row>
    <row r="263" customFormat="false" ht="15" hidden="false" customHeight="false" outlineLevel="0" collapsed="false">
      <c r="A263" s="22" t="n">
        <v>42</v>
      </c>
      <c r="B263" s="20" t="n">
        <v>0.78</v>
      </c>
      <c r="D263" s="22" t="n">
        <v>42</v>
      </c>
      <c r="E263" s="20" t="n">
        <v>0.84</v>
      </c>
      <c r="G263" s="22" t="n">
        <v>42</v>
      </c>
      <c r="H263" s="20" t="n">
        <v>0.84</v>
      </c>
    </row>
    <row r="264" customFormat="false" ht="15" hidden="false" customHeight="false" outlineLevel="0" collapsed="false">
      <c r="A264" s="22" t="n">
        <v>44</v>
      </c>
      <c r="B264" s="20" t="n">
        <v>0.78</v>
      </c>
      <c r="D264" s="22" t="n">
        <v>44</v>
      </c>
      <c r="E264" s="20" t="n">
        <v>0.84</v>
      </c>
      <c r="G264" s="22" t="n">
        <v>44</v>
      </c>
      <c r="H264" s="20" t="n">
        <v>0.84</v>
      </c>
    </row>
    <row r="265" customFormat="false" ht="15" hidden="false" customHeight="false" outlineLevel="0" collapsed="false">
      <c r="A265" s="22" t="n">
        <v>46</v>
      </c>
      <c r="B265" s="20" t="n">
        <v>1.04</v>
      </c>
      <c r="D265" s="22" t="n">
        <v>46</v>
      </c>
      <c r="E265" s="20" t="n">
        <v>1.12</v>
      </c>
      <c r="G265" s="22" t="n">
        <v>46</v>
      </c>
      <c r="H265" s="20" t="n">
        <v>1.12</v>
      </c>
    </row>
    <row r="266" customFormat="false" ht="15" hidden="false" customHeight="false" outlineLevel="0" collapsed="false">
      <c r="A266" s="22" t="n">
        <v>48</v>
      </c>
      <c r="B266" s="20" t="n">
        <v>1.04</v>
      </c>
      <c r="D266" s="22" t="n">
        <v>48</v>
      </c>
      <c r="E266" s="20" t="n">
        <v>1.12</v>
      </c>
      <c r="G266" s="22" t="n">
        <v>48</v>
      </c>
      <c r="H266" s="20" t="n">
        <v>1.12</v>
      </c>
    </row>
    <row r="267" customFormat="false" ht="15" hidden="false" customHeight="false" outlineLevel="0" collapsed="false">
      <c r="A267" s="22" t="n">
        <v>50</v>
      </c>
      <c r="B267" s="20" t="n">
        <v>1.3</v>
      </c>
      <c r="D267" s="22" t="n">
        <v>50</v>
      </c>
      <c r="E267" s="20" t="n">
        <v>1.4</v>
      </c>
      <c r="G267" s="22" t="n">
        <v>50</v>
      </c>
      <c r="H267" s="20" t="n">
        <v>1.4</v>
      </c>
    </row>
    <row r="268" customFormat="false" ht="15" hidden="false" customHeight="false" outlineLevel="0" collapsed="false">
      <c r="A268" s="22" t="n">
        <v>52</v>
      </c>
      <c r="B268" s="20" t="n">
        <v>1.3</v>
      </c>
      <c r="D268" s="22" t="n">
        <v>52</v>
      </c>
      <c r="E268" s="20" t="n">
        <v>1.4</v>
      </c>
      <c r="G268" s="22" t="n">
        <v>52</v>
      </c>
      <c r="H268" s="20" t="n">
        <v>1.4</v>
      </c>
    </row>
    <row r="269" customFormat="false" ht="15" hidden="false" customHeight="false" outlineLevel="0" collapsed="false">
      <c r="A269" s="22" t="n">
        <v>54</v>
      </c>
      <c r="B269" s="20" t="n">
        <v>1.56</v>
      </c>
      <c r="D269" s="22" t="n">
        <v>54</v>
      </c>
      <c r="E269" s="20" t="n">
        <v>1.68</v>
      </c>
      <c r="G269" s="22" t="n">
        <v>54</v>
      </c>
      <c r="H269" s="20" t="n">
        <v>1.68</v>
      </c>
    </row>
    <row r="270" customFormat="false" ht="15" hidden="false" customHeight="false" outlineLevel="0" collapsed="false">
      <c r="A270" s="22" t="n">
        <v>56</v>
      </c>
      <c r="B270" s="20" t="n">
        <v>1.56</v>
      </c>
      <c r="D270" s="22" t="n">
        <v>56</v>
      </c>
      <c r="E270" s="20" t="n">
        <v>1.68</v>
      </c>
      <c r="G270" s="22" t="n">
        <v>56</v>
      </c>
      <c r="H270" s="20" t="n">
        <v>1.68</v>
      </c>
    </row>
    <row r="271" customFormat="false" ht="15" hidden="false" customHeight="false" outlineLevel="0" collapsed="false">
      <c r="A271" s="22" t="n">
        <v>58</v>
      </c>
      <c r="B271" s="20" t="n">
        <v>1.82</v>
      </c>
      <c r="D271" s="22" t="n">
        <v>58</v>
      </c>
      <c r="E271" s="20" t="n">
        <v>1.96</v>
      </c>
      <c r="G271" s="22" t="n">
        <v>58</v>
      </c>
      <c r="H271" s="20" t="n">
        <v>1.96</v>
      </c>
    </row>
    <row r="272" customFormat="false" ht="15" hidden="false" customHeight="false" outlineLevel="0" collapsed="false">
      <c r="A272" s="22" t="n">
        <v>60</v>
      </c>
      <c r="B272" s="20" t="n">
        <v>1.82</v>
      </c>
      <c r="D272" s="22" t="n">
        <v>60</v>
      </c>
      <c r="E272" s="20" t="n">
        <v>1.96</v>
      </c>
      <c r="G272" s="22" t="n">
        <v>60</v>
      </c>
      <c r="H272" s="20" t="n">
        <v>1.96</v>
      </c>
    </row>
    <row r="273" customFormat="false" ht="15" hidden="false" customHeight="false" outlineLevel="0" collapsed="false">
      <c r="A273" s="22" t="n">
        <v>62</v>
      </c>
      <c r="B273" s="20" t="n">
        <v>2.08</v>
      </c>
      <c r="D273" s="22" t="n">
        <v>62</v>
      </c>
      <c r="E273" s="20" t="n">
        <v>2.24</v>
      </c>
      <c r="G273" s="22" t="n">
        <v>62</v>
      </c>
      <c r="H273" s="20" t="n">
        <v>2.24</v>
      </c>
    </row>
    <row r="274" customFormat="false" ht="15" hidden="false" customHeight="false" outlineLevel="0" collapsed="false">
      <c r="A274" s="22" t="n">
        <v>64</v>
      </c>
      <c r="B274" s="20" t="n">
        <v>2.08</v>
      </c>
      <c r="D274" s="22" t="n">
        <v>64</v>
      </c>
      <c r="E274" s="20" t="n">
        <v>2.24</v>
      </c>
      <c r="G274" s="22" t="n">
        <v>64</v>
      </c>
      <c r="H274" s="20" t="n">
        <v>2.24</v>
      </c>
    </row>
    <row r="275" customFormat="false" ht="15" hidden="false" customHeight="false" outlineLevel="0" collapsed="false">
      <c r="A275" s="22" t="n">
        <v>66</v>
      </c>
      <c r="B275" s="20" t="n">
        <v>2.34</v>
      </c>
      <c r="D275" s="22" t="n">
        <v>66</v>
      </c>
      <c r="E275" s="20" t="n">
        <v>2.52</v>
      </c>
      <c r="G275" s="22" t="n">
        <v>66</v>
      </c>
      <c r="H275" s="20" t="n">
        <v>2.52</v>
      </c>
    </row>
    <row r="276" customFormat="false" ht="15" hidden="false" customHeight="false" outlineLevel="0" collapsed="false">
      <c r="A276" s="22" t="n">
        <v>68</v>
      </c>
      <c r="B276" s="20" t="n">
        <v>2.34</v>
      </c>
      <c r="D276" s="22" t="n">
        <v>68</v>
      </c>
      <c r="E276" s="20" t="n">
        <v>2.52</v>
      </c>
      <c r="G276" s="22" t="n">
        <v>68</v>
      </c>
      <c r="H276" s="20" t="n">
        <v>2.52</v>
      </c>
    </row>
    <row r="277" customFormat="false" ht="15" hidden="false" customHeight="false" outlineLevel="0" collapsed="false">
      <c r="A277" s="22" t="n">
        <v>70</v>
      </c>
      <c r="B277" s="20" t="n">
        <v>2.6</v>
      </c>
      <c r="D277" s="22" t="n">
        <v>70</v>
      </c>
      <c r="E277" s="20" t="n">
        <v>2.8</v>
      </c>
      <c r="G277" s="22" t="n">
        <v>70</v>
      </c>
      <c r="H277" s="20" t="n">
        <v>2.8</v>
      </c>
    </row>
    <row r="278" customFormat="false" ht="15" hidden="false" customHeight="false" outlineLevel="0" collapsed="false">
      <c r="A278" s="22" t="n">
        <v>72</v>
      </c>
      <c r="B278" s="20" t="n">
        <v>2.6</v>
      </c>
      <c r="D278" s="22" t="n">
        <v>72</v>
      </c>
      <c r="E278" s="20" t="n">
        <v>2.8</v>
      </c>
      <c r="G278" s="22" t="n">
        <v>72</v>
      </c>
      <c r="H278" s="20" t="n">
        <v>2.8</v>
      </c>
    </row>
    <row r="279" customFormat="false" ht="15" hidden="false" customHeight="false" outlineLevel="0" collapsed="false">
      <c r="A279" s="22" t="n">
        <v>74</v>
      </c>
      <c r="B279" s="20" t="n">
        <v>2.86</v>
      </c>
      <c r="D279" s="22" t="n">
        <v>74</v>
      </c>
      <c r="E279" s="20" t="n">
        <v>3.08</v>
      </c>
      <c r="G279" s="22" t="n">
        <v>74</v>
      </c>
      <c r="H279" s="20" t="n">
        <v>3.08</v>
      </c>
    </row>
    <row r="280" customFormat="false" ht="15" hidden="false" customHeight="false" outlineLevel="0" collapsed="false">
      <c r="A280" s="22" t="n">
        <v>76</v>
      </c>
      <c r="B280" s="20" t="n">
        <v>2.86</v>
      </c>
      <c r="D280" s="22" t="n">
        <v>76</v>
      </c>
      <c r="E280" s="20" t="n">
        <v>3.08</v>
      </c>
      <c r="G280" s="22" t="n">
        <v>76</v>
      </c>
      <c r="H280" s="20" t="n">
        <v>3.08</v>
      </c>
    </row>
    <row r="281" customFormat="false" ht="15" hidden="false" customHeight="false" outlineLevel="0" collapsed="false">
      <c r="A281" s="22" t="n">
        <v>78</v>
      </c>
      <c r="B281" s="20" t="n">
        <v>3.12</v>
      </c>
      <c r="D281" s="22" t="n">
        <v>78</v>
      </c>
      <c r="E281" s="20" t="n">
        <v>3.36</v>
      </c>
      <c r="G281" s="22" t="n">
        <v>78</v>
      </c>
      <c r="H281" s="20" t="n">
        <v>3.36</v>
      </c>
    </row>
    <row r="282" customFormat="false" ht="15" hidden="false" customHeight="false" outlineLevel="0" collapsed="false">
      <c r="A282" s="22" t="n">
        <v>80</v>
      </c>
      <c r="B282" s="20" t="n">
        <v>3.12</v>
      </c>
      <c r="D282" s="22" t="n">
        <v>80</v>
      </c>
      <c r="E282" s="20" t="n">
        <v>3.36</v>
      </c>
      <c r="G282" s="22" t="n">
        <v>80</v>
      </c>
      <c r="H282" s="20" t="n">
        <v>3.36</v>
      </c>
    </row>
    <row r="283" customFormat="false" ht="15" hidden="false" customHeight="false" outlineLevel="0" collapsed="false">
      <c r="A283" s="22" t="n">
        <v>82</v>
      </c>
      <c r="B283" s="20" t="n">
        <v>3.38</v>
      </c>
      <c r="D283" s="22" t="n">
        <v>82</v>
      </c>
      <c r="E283" s="20" t="n">
        <v>3.64</v>
      </c>
      <c r="G283" s="22" t="n">
        <v>82</v>
      </c>
      <c r="H283" s="20" t="n">
        <v>3.64</v>
      </c>
    </row>
    <row r="284" customFormat="false" ht="15" hidden="false" customHeight="false" outlineLevel="0" collapsed="false">
      <c r="A284" s="22" t="n">
        <v>84</v>
      </c>
      <c r="B284" s="20" t="n">
        <v>3.38</v>
      </c>
      <c r="D284" s="22" t="n">
        <v>84</v>
      </c>
      <c r="E284" s="20" t="n">
        <v>3.64</v>
      </c>
      <c r="G284" s="22" t="n">
        <v>84</v>
      </c>
      <c r="H284" s="20" t="n">
        <v>3.64</v>
      </c>
    </row>
    <row r="285" customFormat="false" ht="15" hidden="false" customHeight="false" outlineLevel="0" collapsed="false">
      <c r="A285" s="22" t="n">
        <v>86</v>
      </c>
      <c r="B285" s="20" t="n">
        <v>3.64</v>
      </c>
      <c r="D285" s="22" t="n">
        <v>86</v>
      </c>
      <c r="E285" s="20" t="n">
        <v>3.92</v>
      </c>
      <c r="G285" s="22" t="n">
        <v>86</v>
      </c>
      <c r="H285" s="20" t="n">
        <v>3.92</v>
      </c>
    </row>
    <row r="286" customFormat="false" ht="15" hidden="false" customHeight="false" outlineLevel="0" collapsed="false">
      <c r="A286" s="22" t="n">
        <v>88</v>
      </c>
      <c r="B286" s="20" t="n">
        <v>3.64</v>
      </c>
      <c r="D286" s="22" t="n">
        <v>88</v>
      </c>
      <c r="E286" s="20" t="n">
        <v>3.92</v>
      </c>
      <c r="G286" s="22" t="n">
        <v>88</v>
      </c>
      <c r="H286" s="20" t="n">
        <v>3.92</v>
      </c>
    </row>
    <row r="287" customFormat="false" ht="15" hidden="false" customHeight="false" outlineLevel="0" collapsed="false">
      <c r="A287" s="22" t="n">
        <v>90</v>
      </c>
      <c r="B287" s="20" t="n">
        <v>3.9</v>
      </c>
      <c r="D287" s="22" t="n">
        <v>90</v>
      </c>
      <c r="E287" s="20" t="n">
        <v>4.2</v>
      </c>
      <c r="G287" s="22" t="n">
        <v>90</v>
      </c>
      <c r="H287" s="20" t="n">
        <v>4.2</v>
      </c>
    </row>
    <row r="288" customFormat="false" ht="15" hidden="false" customHeight="false" outlineLevel="0" collapsed="false">
      <c r="A288" s="22" t="n">
        <v>92</v>
      </c>
      <c r="B288" s="20" t="n">
        <v>3.9</v>
      </c>
      <c r="D288" s="22" t="n">
        <v>92</v>
      </c>
      <c r="E288" s="20" t="n">
        <v>4.2</v>
      </c>
      <c r="G288" s="22" t="n">
        <v>92</v>
      </c>
      <c r="H288" s="20" t="n">
        <v>4.2</v>
      </c>
    </row>
    <row r="289" customFormat="false" ht="15" hidden="false" customHeight="false" outlineLevel="0" collapsed="false">
      <c r="A289" s="22" t="n">
        <v>94</v>
      </c>
      <c r="B289" s="20" t="n">
        <v>4.16</v>
      </c>
      <c r="D289" s="22" t="n">
        <v>94</v>
      </c>
      <c r="E289" s="20" t="n">
        <v>4.48</v>
      </c>
      <c r="G289" s="22" t="n">
        <v>94</v>
      </c>
      <c r="H289" s="20" t="n">
        <v>4.48</v>
      </c>
    </row>
    <row r="290" customFormat="false" ht="15" hidden="false" customHeight="false" outlineLevel="0" collapsed="false">
      <c r="A290" s="22" t="n">
        <v>96</v>
      </c>
      <c r="B290" s="20" t="n">
        <v>4.16</v>
      </c>
      <c r="D290" s="22" t="n">
        <v>96</v>
      </c>
      <c r="E290" s="20" t="n">
        <v>4.48</v>
      </c>
      <c r="G290" s="22" t="n">
        <v>96</v>
      </c>
      <c r="H290" s="20" t="n">
        <v>4.48</v>
      </c>
    </row>
    <row r="291" customFormat="false" ht="15" hidden="false" customHeight="false" outlineLevel="0" collapsed="false">
      <c r="A291" s="22" t="n">
        <v>98</v>
      </c>
      <c r="B291" s="20" t="n">
        <v>4.42</v>
      </c>
      <c r="D291" s="22" t="n">
        <v>98</v>
      </c>
      <c r="E291" s="20" t="n">
        <v>4.76</v>
      </c>
      <c r="G291" s="22" t="n">
        <v>98</v>
      </c>
      <c r="H291" s="20" t="n">
        <v>4.76</v>
      </c>
    </row>
    <row r="292" customFormat="false" ht="15" hidden="false" customHeight="false" outlineLevel="0" collapsed="false">
      <c r="A292" s="22" t="n">
        <v>100</v>
      </c>
      <c r="B292" s="20" t="n">
        <v>4.42</v>
      </c>
      <c r="D292" s="22" t="n">
        <v>100</v>
      </c>
      <c r="E292" s="20" t="n">
        <v>4.76</v>
      </c>
      <c r="G292" s="22" t="n">
        <v>100</v>
      </c>
      <c r="H292" s="20" t="n">
        <v>4.76</v>
      </c>
    </row>
    <row r="293" customFormat="false" ht="15" hidden="false" customHeight="false" outlineLevel="0" collapsed="false">
      <c r="A293" s="22" t="n">
        <v>102</v>
      </c>
      <c r="B293" s="20" t="n">
        <v>4.68</v>
      </c>
      <c r="D293" s="22" t="n">
        <v>102</v>
      </c>
      <c r="E293" s="20" t="n">
        <v>5.04</v>
      </c>
      <c r="G293" s="22" t="n">
        <v>102</v>
      </c>
      <c r="H293" s="20" t="n">
        <v>5.04</v>
      </c>
    </row>
    <row r="294" customFormat="false" ht="15" hidden="false" customHeight="false" outlineLevel="0" collapsed="false">
      <c r="A294" s="22" t="n">
        <v>104</v>
      </c>
      <c r="B294" s="20" t="n">
        <v>4.68</v>
      </c>
      <c r="D294" s="22" t="n">
        <v>104</v>
      </c>
      <c r="E294" s="20" t="n">
        <v>5.04</v>
      </c>
      <c r="G294" s="22" t="n">
        <v>104</v>
      </c>
      <c r="H294" s="20" t="n">
        <v>5.04</v>
      </c>
    </row>
    <row r="295" customFormat="false" ht="15" hidden="false" customHeight="false" outlineLevel="0" collapsed="false">
      <c r="A295" s="22" t="n">
        <v>106</v>
      </c>
      <c r="B295" s="20" t="n">
        <v>4.94</v>
      </c>
      <c r="D295" s="22" t="n">
        <v>106</v>
      </c>
      <c r="E295" s="20" t="n">
        <v>5.32</v>
      </c>
      <c r="G295" s="22" t="n">
        <v>106</v>
      </c>
      <c r="H295" s="20" t="n">
        <v>5.32</v>
      </c>
    </row>
    <row r="296" customFormat="false" ht="15" hidden="false" customHeight="false" outlineLevel="0" collapsed="false">
      <c r="A296" s="22" t="n">
        <v>108</v>
      </c>
      <c r="B296" s="20" t="n">
        <v>4.94</v>
      </c>
      <c r="D296" s="22" t="n">
        <v>108</v>
      </c>
      <c r="E296" s="20" t="n">
        <v>5.32</v>
      </c>
      <c r="G296" s="22" t="n">
        <v>108</v>
      </c>
      <c r="H296" s="20" t="n">
        <v>5.32</v>
      </c>
    </row>
    <row r="297" customFormat="false" ht="15" hidden="false" customHeight="false" outlineLevel="0" collapsed="false">
      <c r="A297" s="22" t="n">
        <v>110</v>
      </c>
      <c r="B297" s="20" t="n">
        <v>5.2</v>
      </c>
      <c r="D297" s="22" t="n">
        <v>110</v>
      </c>
      <c r="E297" s="20" t="n">
        <v>5.6</v>
      </c>
      <c r="G297" s="22" t="n">
        <v>110</v>
      </c>
      <c r="H297" s="20" t="n">
        <v>5.6</v>
      </c>
    </row>
    <row r="298" customFormat="false" ht="15" hidden="false" customHeight="false" outlineLevel="0" collapsed="false">
      <c r="A298" s="22" t="n">
        <v>112</v>
      </c>
      <c r="B298" s="20" t="n">
        <v>5.2</v>
      </c>
      <c r="D298" s="22" t="n">
        <v>112</v>
      </c>
      <c r="E298" s="20" t="n">
        <v>5.6</v>
      </c>
      <c r="G298" s="22" t="n">
        <v>112</v>
      </c>
      <c r="H298" s="20" t="n">
        <v>5.6</v>
      </c>
    </row>
    <row r="299" customFormat="false" ht="15" hidden="false" customHeight="false" outlineLevel="0" collapsed="false">
      <c r="A299" s="22" t="n">
        <v>114</v>
      </c>
      <c r="B299" s="20" t="n">
        <v>5.46</v>
      </c>
      <c r="D299" s="22" t="n">
        <v>114</v>
      </c>
      <c r="E299" s="20" t="n">
        <v>5.88</v>
      </c>
      <c r="G299" s="22" t="n">
        <v>114</v>
      </c>
      <c r="H299" s="20" t="n">
        <v>5.88</v>
      </c>
    </row>
    <row r="300" customFormat="false" ht="15" hidden="false" customHeight="false" outlineLevel="0" collapsed="false">
      <c r="A300" s="22" t="n">
        <v>116</v>
      </c>
      <c r="B300" s="20" t="n">
        <v>5.46</v>
      </c>
      <c r="D300" s="22" t="n">
        <v>116</v>
      </c>
      <c r="E300" s="20" t="n">
        <v>5.88</v>
      </c>
      <c r="G300" s="22" t="n">
        <v>116</v>
      </c>
      <c r="H300" s="20" t="n">
        <v>5.88</v>
      </c>
    </row>
    <row r="301" customFormat="false" ht="15" hidden="false" customHeight="false" outlineLevel="0" collapsed="false">
      <c r="A301" s="22" t="n">
        <v>118</v>
      </c>
      <c r="B301" s="20" t="n">
        <v>5.72</v>
      </c>
      <c r="D301" s="22" t="n">
        <v>118</v>
      </c>
      <c r="E301" s="20" t="n">
        <v>6.16</v>
      </c>
      <c r="G301" s="22" t="n">
        <v>118</v>
      </c>
      <c r="H301" s="20" t="n">
        <v>6.16</v>
      </c>
    </row>
    <row r="302" customFormat="false" ht="15" hidden="false" customHeight="false" outlineLevel="0" collapsed="false">
      <c r="A302" s="22" t="n">
        <v>120</v>
      </c>
      <c r="B302" s="20" t="n">
        <v>5.72</v>
      </c>
      <c r="D302" s="22" t="n">
        <v>120</v>
      </c>
      <c r="E302" s="20" t="n">
        <v>6.16</v>
      </c>
      <c r="G302" s="22" t="n">
        <v>120</v>
      </c>
      <c r="H302" s="20" t="n">
        <v>6.16</v>
      </c>
    </row>
    <row r="303" customFormat="false" ht="15" hidden="false" customHeight="false" outlineLevel="0" collapsed="false">
      <c r="A303" s="22" t="n">
        <v>122</v>
      </c>
      <c r="B303" s="20" t="n">
        <v>5.98</v>
      </c>
      <c r="D303" s="22" t="n">
        <v>122</v>
      </c>
      <c r="E303" s="20" t="n">
        <v>6.44</v>
      </c>
      <c r="G303" s="22" t="n">
        <v>122</v>
      </c>
      <c r="H303" s="20" t="n">
        <v>6.44</v>
      </c>
    </row>
    <row r="304" customFormat="false" ht="15" hidden="false" customHeight="false" outlineLevel="0" collapsed="false">
      <c r="A304" s="22" t="n">
        <v>124</v>
      </c>
      <c r="B304" s="20" t="n">
        <v>5.98</v>
      </c>
      <c r="D304" s="22" t="n">
        <v>124</v>
      </c>
      <c r="E304" s="20" t="n">
        <v>6.44</v>
      </c>
      <c r="G304" s="22" t="n">
        <v>124</v>
      </c>
      <c r="H304" s="20" t="n">
        <v>6.44</v>
      </c>
    </row>
    <row r="305" customFormat="false" ht="15" hidden="false" customHeight="false" outlineLevel="0" collapsed="false">
      <c r="A305" s="22" t="n">
        <v>126</v>
      </c>
      <c r="B305" s="20" t="n">
        <v>6.24</v>
      </c>
      <c r="D305" s="22" t="n">
        <v>126</v>
      </c>
      <c r="E305" s="20" t="n">
        <v>6.72</v>
      </c>
      <c r="G305" s="22" t="n">
        <v>126</v>
      </c>
      <c r="H305" s="20" t="n">
        <v>6.72</v>
      </c>
    </row>
    <row r="306" customFormat="false" ht="15" hidden="false" customHeight="false" outlineLevel="0" collapsed="false">
      <c r="A306" s="22" t="n">
        <v>128</v>
      </c>
      <c r="B306" s="20" t="n">
        <v>6.24</v>
      </c>
      <c r="D306" s="22" t="n">
        <v>128</v>
      </c>
      <c r="E306" s="20" t="n">
        <v>6.72</v>
      </c>
      <c r="G306" s="22" t="n">
        <v>128</v>
      </c>
      <c r="H306" s="20" t="n">
        <v>6.72</v>
      </c>
    </row>
    <row r="307" customFormat="false" ht="15" hidden="false" customHeight="false" outlineLevel="0" collapsed="false">
      <c r="A307" s="22" t="n">
        <v>130</v>
      </c>
      <c r="B307" s="20" t="n">
        <v>6.5</v>
      </c>
      <c r="D307" s="22" t="n">
        <v>130</v>
      </c>
      <c r="E307" s="20" t="n">
        <v>7</v>
      </c>
      <c r="G307" s="22" t="n">
        <v>130</v>
      </c>
      <c r="H307" s="20" t="n">
        <v>7</v>
      </c>
    </row>
    <row r="308" customFormat="false" ht="15" hidden="false" customHeight="false" outlineLevel="0" collapsed="false">
      <c r="A308" s="22" t="n">
        <v>132</v>
      </c>
      <c r="B308" s="20" t="n">
        <v>6.5</v>
      </c>
      <c r="D308" s="22" t="n">
        <v>132</v>
      </c>
      <c r="E308" s="20" t="n">
        <v>7</v>
      </c>
      <c r="G308" s="22" t="n">
        <v>132</v>
      </c>
      <c r="H308" s="20" t="n">
        <v>7</v>
      </c>
    </row>
    <row r="309" customFormat="false" ht="15" hidden="false" customHeight="false" outlineLevel="0" collapsed="false">
      <c r="A309" s="22" t="n">
        <v>134</v>
      </c>
      <c r="B309" s="20" t="n">
        <v>6.76</v>
      </c>
      <c r="D309" s="22" t="n">
        <v>134</v>
      </c>
      <c r="E309" s="20" t="n">
        <v>7.28</v>
      </c>
      <c r="G309" s="22" t="n">
        <v>134</v>
      </c>
      <c r="H309" s="20" t="n">
        <v>7.28</v>
      </c>
    </row>
    <row r="310" customFormat="false" ht="15" hidden="false" customHeight="false" outlineLevel="0" collapsed="false">
      <c r="A310" s="22" t="n">
        <v>136</v>
      </c>
      <c r="B310" s="20" t="n">
        <v>6.76</v>
      </c>
      <c r="D310" s="22" t="n">
        <v>136</v>
      </c>
      <c r="E310" s="20" t="n">
        <v>7.28</v>
      </c>
      <c r="G310" s="22" t="n">
        <v>136</v>
      </c>
      <c r="H310" s="20" t="n">
        <v>7.28</v>
      </c>
    </row>
    <row r="311" customFormat="false" ht="15" hidden="false" customHeight="false" outlineLevel="0" collapsed="false">
      <c r="A311" s="22" t="n">
        <v>138</v>
      </c>
      <c r="B311" s="20" t="n">
        <v>7.02</v>
      </c>
      <c r="D311" s="22" t="n">
        <v>138</v>
      </c>
      <c r="E311" s="20" t="n">
        <v>7.56</v>
      </c>
      <c r="G311" s="22" t="n">
        <v>138</v>
      </c>
      <c r="H311" s="20" t="n">
        <v>7.56</v>
      </c>
    </row>
    <row r="312" customFormat="false" ht="15" hidden="false" customHeight="false" outlineLevel="0" collapsed="false">
      <c r="A312" s="22" t="n">
        <v>140</v>
      </c>
      <c r="B312" s="20" t="n">
        <v>7.02</v>
      </c>
      <c r="D312" s="22" t="n">
        <v>140</v>
      </c>
      <c r="E312" s="20" t="n">
        <v>7.56</v>
      </c>
      <c r="G312" s="22" t="n">
        <v>140</v>
      </c>
      <c r="H312" s="20" t="n">
        <v>7.56</v>
      </c>
    </row>
    <row r="313" customFormat="false" ht="15" hidden="false" customHeight="false" outlineLevel="0" collapsed="false">
      <c r="A313" s="22" t="n">
        <v>142</v>
      </c>
      <c r="B313" s="20" t="n">
        <v>7.28</v>
      </c>
      <c r="D313" s="22" t="n">
        <v>142</v>
      </c>
      <c r="E313" s="20" t="n">
        <v>7.84</v>
      </c>
      <c r="G313" s="22" t="n">
        <v>142</v>
      </c>
      <c r="H313" s="20" t="n">
        <v>7.84</v>
      </c>
    </row>
    <row r="314" customFormat="false" ht="15" hidden="false" customHeight="false" outlineLevel="0" collapsed="false">
      <c r="A314" s="22" t="n">
        <v>144</v>
      </c>
      <c r="B314" s="20" t="n">
        <v>7.28</v>
      </c>
      <c r="D314" s="22" t="n">
        <v>144</v>
      </c>
      <c r="E314" s="20" t="n">
        <v>7.84</v>
      </c>
      <c r="G314" s="22" t="n">
        <v>144</v>
      </c>
      <c r="H314" s="20" t="n">
        <v>7.84</v>
      </c>
    </row>
    <row r="315" customFormat="false" ht="15" hidden="false" customHeight="false" outlineLevel="0" collapsed="false">
      <c r="A315" s="22" t="n">
        <v>146</v>
      </c>
      <c r="B315" s="20" t="n">
        <v>7.54</v>
      </c>
      <c r="D315" s="22" t="n">
        <v>146</v>
      </c>
      <c r="E315" s="20" t="n">
        <v>8.12</v>
      </c>
      <c r="G315" s="22" t="n">
        <v>146</v>
      </c>
      <c r="H315" s="20" t="n">
        <v>8.12</v>
      </c>
    </row>
    <row r="316" customFormat="false" ht="15" hidden="false" customHeight="false" outlineLevel="0" collapsed="false">
      <c r="A316" s="22" t="n">
        <v>148</v>
      </c>
      <c r="B316" s="20" t="n">
        <v>7.54</v>
      </c>
      <c r="D316" s="22" t="n">
        <v>148</v>
      </c>
      <c r="E316" s="20" t="n">
        <v>8.12</v>
      </c>
      <c r="G316" s="22" t="n">
        <v>148</v>
      </c>
      <c r="H316" s="20" t="n">
        <v>8.12</v>
      </c>
    </row>
    <row r="317" customFormat="false" ht="15" hidden="false" customHeight="false" outlineLevel="0" collapsed="false">
      <c r="A317" s="22" t="n">
        <v>150</v>
      </c>
      <c r="B317" s="20" t="n">
        <v>7.8</v>
      </c>
      <c r="D317" s="22" t="n">
        <v>150</v>
      </c>
      <c r="E317" s="20" t="n">
        <v>8.4</v>
      </c>
      <c r="G317" s="22" t="n">
        <v>150</v>
      </c>
      <c r="H317" s="20" t="n">
        <v>8.4</v>
      </c>
    </row>
    <row r="318" customFormat="false" ht="15" hidden="false" customHeight="false" outlineLevel="0" collapsed="false">
      <c r="A318" s="22" t="n">
        <v>152</v>
      </c>
      <c r="B318" s="20" t="n">
        <v>7.8</v>
      </c>
      <c r="D318" s="22" t="n">
        <v>152</v>
      </c>
      <c r="E318" s="20" t="n">
        <v>8.4</v>
      </c>
      <c r="G318" s="22" t="n">
        <v>152</v>
      </c>
      <c r="H318" s="20" t="n">
        <v>8.4</v>
      </c>
    </row>
    <row r="319" customFormat="false" ht="15" hidden="false" customHeight="false" outlineLevel="0" collapsed="false">
      <c r="A319" s="22" t="n">
        <v>154</v>
      </c>
      <c r="B319" s="20" t="n">
        <v>8.06</v>
      </c>
      <c r="D319" s="22" t="n">
        <v>154</v>
      </c>
      <c r="E319" s="20" t="n">
        <v>8.68</v>
      </c>
      <c r="G319" s="22" t="n">
        <v>154</v>
      </c>
      <c r="H319" s="20" t="n">
        <v>8.68</v>
      </c>
    </row>
    <row r="320" customFormat="false" ht="15" hidden="false" customHeight="false" outlineLevel="0" collapsed="false">
      <c r="A320" s="22" t="n">
        <v>156</v>
      </c>
      <c r="B320" s="20" t="n">
        <v>8.06</v>
      </c>
      <c r="D320" s="22" t="n">
        <v>156</v>
      </c>
      <c r="E320" s="20" t="n">
        <v>8.68</v>
      </c>
      <c r="G320" s="22" t="n">
        <v>156</v>
      </c>
      <c r="H320" s="20" t="n">
        <v>8.68</v>
      </c>
    </row>
    <row r="321" customFormat="false" ht="15" hidden="false" customHeight="false" outlineLevel="0" collapsed="false">
      <c r="A321" s="22" t="n">
        <v>158</v>
      </c>
      <c r="B321" s="20" t="n">
        <v>8.32</v>
      </c>
      <c r="D321" s="22" t="n">
        <v>158</v>
      </c>
      <c r="E321" s="20" t="n">
        <v>8.96</v>
      </c>
      <c r="G321" s="22" t="n">
        <v>158</v>
      </c>
      <c r="H321" s="20" t="n">
        <v>8.96</v>
      </c>
    </row>
    <row r="322" customFormat="false" ht="15" hidden="false" customHeight="false" outlineLevel="0" collapsed="false">
      <c r="A322" s="22" t="n">
        <v>160</v>
      </c>
      <c r="B322" s="20" t="n">
        <v>8.32</v>
      </c>
      <c r="D322" s="22" t="n">
        <v>160</v>
      </c>
      <c r="E322" s="20" t="n">
        <v>8.96</v>
      </c>
      <c r="G322" s="22" t="n">
        <v>160</v>
      </c>
      <c r="H322" s="20" t="n">
        <v>8.96</v>
      </c>
    </row>
    <row r="323" customFormat="false" ht="15" hidden="false" customHeight="false" outlineLevel="0" collapsed="false">
      <c r="A323" s="22" t="n">
        <v>162</v>
      </c>
      <c r="B323" s="20" t="n">
        <v>8.58</v>
      </c>
      <c r="D323" s="22" t="n">
        <v>162</v>
      </c>
      <c r="E323" s="20" t="n">
        <v>9.24</v>
      </c>
      <c r="G323" s="22" t="n">
        <v>162</v>
      </c>
      <c r="H323" s="20" t="n">
        <v>9.24</v>
      </c>
    </row>
    <row r="324" customFormat="false" ht="15" hidden="false" customHeight="false" outlineLevel="0" collapsed="false">
      <c r="A324" s="22" t="n">
        <v>164</v>
      </c>
      <c r="B324" s="20" t="n">
        <v>8.58</v>
      </c>
      <c r="D324" s="22" t="n">
        <v>164</v>
      </c>
      <c r="E324" s="20" t="n">
        <v>9.24</v>
      </c>
      <c r="G324" s="22" t="n">
        <v>164</v>
      </c>
      <c r="H324" s="20" t="n">
        <v>9.24</v>
      </c>
    </row>
    <row r="325" customFormat="false" ht="15" hidden="false" customHeight="false" outlineLevel="0" collapsed="false">
      <c r="A325" s="22" t="n">
        <v>166</v>
      </c>
      <c r="B325" s="20" t="n">
        <v>8.84</v>
      </c>
      <c r="D325" s="22" t="n">
        <v>166</v>
      </c>
      <c r="E325" s="20" t="n">
        <v>9.52</v>
      </c>
      <c r="G325" s="22" t="n">
        <v>166</v>
      </c>
      <c r="H325" s="20" t="n">
        <v>9.52</v>
      </c>
    </row>
    <row r="326" customFormat="false" ht="15" hidden="false" customHeight="false" outlineLevel="0" collapsed="false">
      <c r="A326" s="22" t="n">
        <v>168</v>
      </c>
      <c r="B326" s="20" t="n">
        <v>8.84</v>
      </c>
      <c r="D326" s="22" t="n">
        <v>168</v>
      </c>
      <c r="E326" s="20" t="n">
        <v>9.52</v>
      </c>
      <c r="G326" s="22" t="n">
        <v>168</v>
      </c>
      <c r="H326" s="20" t="n">
        <v>9.52</v>
      </c>
    </row>
    <row r="327" customFormat="false" ht="15" hidden="false" customHeight="false" outlineLevel="0" collapsed="false">
      <c r="A327" s="22" t="n">
        <v>170</v>
      </c>
      <c r="B327" s="20" t="n">
        <v>9.1</v>
      </c>
      <c r="D327" s="22" t="n">
        <v>170</v>
      </c>
      <c r="E327" s="20" t="n">
        <v>9.8</v>
      </c>
      <c r="G327" s="22" t="n">
        <v>170</v>
      </c>
      <c r="H327" s="20" t="n">
        <v>9.8</v>
      </c>
    </row>
    <row r="328" customFormat="false" ht="15" hidden="false" customHeight="false" outlineLevel="0" collapsed="false">
      <c r="A328" s="22" t="n">
        <v>172</v>
      </c>
      <c r="B328" s="20" t="n">
        <v>9.1</v>
      </c>
      <c r="D328" s="22" t="n">
        <v>172</v>
      </c>
      <c r="E328" s="20" t="n">
        <v>9.8</v>
      </c>
      <c r="G328" s="22" t="n">
        <v>172</v>
      </c>
      <c r="H328" s="20" t="n">
        <v>9.8</v>
      </c>
    </row>
    <row r="329" customFormat="false" ht="15" hidden="false" customHeight="false" outlineLevel="0" collapsed="false">
      <c r="A329" s="22" t="n">
        <v>174</v>
      </c>
      <c r="B329" s="20" t="n">
        <v>9.36</v>
      </c>
      <c r="D329" s="22" t="n">
        <v>174</v>
      </c>
      <c r="E329" s="20" t="n">
        <v>10.08</v>
      </c>
      <c r="G329" s="22" t="n">
        <v>174</v>
      </c>
      <c r="H329" s="20" t="n">
        <v>10.08</v>
      </c>
    </row>
    <row r="330" customFormat="false" ht="15" hidden="false" customHeight="false" outlineLevel="0" collapsed="false">
      <c r="A330" s="22" t="n">
        <v>176</v>
      </c>
      <c r="B330" s="20" t="n">
        <v>9.36</v>
      </c>
      <c r="D330" s="22" t="n">
        <v>176</v>
      </c>
      <c r="E330" s="20" t="n">
        <v>10.08</v>
      </c>
      <c r="G330" s="22" t="n">
        <v>176</v>
      </c>
      <c r="H330" s="20" t="n">
        <v>10.08</v>
      </c>
    </row>
    <row r="331" customFormat="false" ht="15" hidden="false" customHeight="false" outlineLevel="0" collapsed="false">
      <c r="A331" s="22" t="n">
        <v>178</v>
      </c>
      <c r="B331" s="20" t="n">
        <v>9.62</v>
      </c>
      <c r="D331" s="22" t="n">
        <v>178</v>
      </c>
      <c r="E331" s="20" t="n">
        <v>10.36</v>
      </c>
      <c r="G331" s="22" t="n">
        <v>178</v>
      </c>
      <c r="H331" s="20" t="n">
        <v>10.36</v>
      </c>
    </row>
    <row r="332" customFormat="false" ht="15" hidden="false" customHeight="false" outlineLevel="0" collapsed="false">
      <c r="A332" s="22" t="n">
        <v>180</v>
      </c>
      <c r="B332" s="20" t="n">
        <v>9.62</v>
      </c>
      <c r="D332" s="22" t="n">
        <v>180</v>
      </c>
      <c r="E332" s="20" t="n">
        <v>10.36</v>
      </c>
      <c r="G332" s="22" t="n">
        <v>180</v>
      </c>
      <c r="H332" s="20" t="n">
        <v>10.36</v>
      </c>
    </row>
    <row r="333" customFormat="false" ht="15" hidden="false" customHeight="false" outlineLevel="0" collapsed="false">
      <c r="A333" s="22" t="n">
        <v>182</v>
      </c>
      <c r="B333" s="20" t="n">
        <v>9.88</v>
      </c>
      <c r="D333" s="22" t="n">
        <v>182</v>
      </c>
      <c r="E333" s="20" t="n">
        <v>10.64</v>
      </c>
      <c r="G333" s="22" t="n">
        <v>182</v>
      </c>
      <c r="H333" s="20" t="n">
        <v>10.64</v>
      </c>
    </row>
    <row r="334" customFormat="false" ht="15" hidden="false" customHeight="false" outlineLevel="0" collapsed="false">
      <c r="A334" s="22" t="n">
        <v>184</v>
      </c>
      <c r="B334" s="20" t="n">
        <v>9.88</v>
      </c>
      <c r="D334" s="22" t="n">
        <v>184</v>
      </c>
      <c r="E334" s="20" t="n">
        <v>10.64</v>
      </c>
      <c r="G334" s="22" t="n">
        <v>184</v>
      </c>
      <c r="H334" s="20" t="n">
        <v>10.64</v>
      </c>
    </row>
    <row r="335" customFormat="false" ht="15" hidden="false" customHeight="false" outlineLevel="0" collapsed="false">
      <c r="A335" s="22" t="n">
        <v>186</v>
      </c>
      <c r="B335" s="20" t="n">
        <v>10.14</v>
      </c>
      <c r="D335" s="22" t="n">
        <v>186</v>
      </c>
      <c r="E335" s="20" t="n">
        <v>10.92</v>
      </c>
      <c r="G335" s="22" t="n">
        <v>186</v>
      </c>
      <c r="H335" s="20" t="n">
        <v>10.92</v>
      </c>
    </row>
    <row r="336" customFormat="false" ht="15" hidden="false" customHeight="false" outlineLevel="0" collapsed="false">
      <c r="A336" s="22" t="n">
        <v>188</v>
      </c>
      <c r="B336" s="20" t="n">
        <v>10.14</v>
      </c>
      <c r="D336" s="22" t="n">
        <v>188</v>
      </c>
      <c r="E336" s="20" t="n">
        <v>10.92</v>
      </c>
      <c r="G336" s="22" t="n">
        <v>188</v>
      </c>
      <c r="H336" s="20" t="n">
        <v>10.92</v>
      </c>
    </row>
    <row r="337" customFormat="false" ht="15" hidden="false" customHeight="false" outlineLevel="0" collapsed="false">
      <c r="A337" s="22" t="n">
        <v>190</v>
      </c>
      <c r="B337" s="20" t="n">
        <v>10.4</v>
      </c>
      <c r="D337" s="22" t="n">
        <v>190</v>
      </c>
      <c r="E337" s="20" t="n">
        <v>11.2</v>
      </c>
      <c r="G337" s="22" t="n">
        <v>190</v>
      </c>
      <c r="H337" s="20" t="n">
        <v>11.2</v>
      </c>
    </row>
    <row r="338" customFormat="false" ht="15" hidden="false" customHeight="false" outlineLevel="0" collapsed="false">
      <c r="A338" s="22" t="n">
        <v>192</v>
      </c>
      <c r="B338" s="20" t="n">
        <v>10.4</v>
      </c>
      <c r="D338" s="22" t="n">
        <v>192</v>
      </c>
      <c r="E338" s="20" t="n">
        <v>11.2</v>
      </c>
      <c r="G338" s="22" t="n">
        <v>192</v>
      </c>
      <c r="H338" s="20" t="n">
        <v>11.2</v>
      </c>
    </row>
    <row r="339" customFormat="false" ht="15" hidden="false" customHeight="false" outlineLevel="0" collapsed="false">
      <c r="A339" s="22" t="n">
        <v>194</v>
      </c>
      <c r="B339" s="20" t="n">
        <v>10.66</v>
      </c>
      <c r="D339" s="22" t="n">
        <v>194</v>
      </c>
      <c r="E339" s="20" t="n">
        <v>11.48</v>
      </c>
      <c r="G339" s="22" t="n">
        <v>194</v>
      </c>
      <c r="H339" s="20" t="n">
        <v>11.48</v>
      </c>
    </row>
    <row r="340" customFormat="false" ht="15" hidden="false" customHeight="false" outlineLevel="0" collapsed="false">
      <c r="A340" s="22" t="n">
        <v>196</v>
      </c>
      <c r="B340" s="20" t="n">
        <v>10.66</v>
      </c>
      <c r="D340" s="22" t="n">
        <v>196</v>
      </c>
      <c r="E340" s="20" t="n">
        <v>11.48</v>
      </c>
      <c r="G340" s="22" t="n">
        <v>196</v>
      </c>
      <c r="H340" s="20" t="n">
        <v>11.48</v>
      </c>
    </row>
    <row r="341" customFormat="false" ht="15" hidden="false" customHeight="false" outlineLevel="0" collapsed="false">
      <c r="A341" s="22" t="n">
        <v>198</v>
      </c>
      <c r="B341" s="20" t="n">
        <v>10.92</v>
      </c>
      <c r="D341" s="22" t="n">
        <v>198</v>
      </c>
      <c r="E341" s="20" t="n">
        <v>11.76</v>
      </c>
      <c r="G341" s="22" t="n">
        <v>198</v>
      </c>
      <c r="H341" s="20" t="n">
        <v>11.76</v>
      </c>
    </row>
    <row r="342" customFormat="false" ht="15" hidden="false" customHeight="false" outlineLevel="0" collapsed="false">
      <c r="A342" s="22" t="n">
        <v>200</v>
      </c>
      <c r="B342" s="20" t="n">
        <v>10.92</v>
      </c>
      <c r="D342" s="22" t="n">
        <v>200</v>
      </c>
      <c r="E342" s="20" t="n">
        <v>11.76</v>
      </c>
      <c r="G342" s="22" t="n">
        <v>200</v>
      </c>
      <c r="H342" s="20" t="n">
        <v>11.76</v>
      </c>
    </row>
    <row r="343" customFormat="false" ht="15" hidden="false" customHeight="false" outlineLevel="0" collapsed="false">
      <c r="A343" s="22" t="n">
        <v>202</v>
      </c>
      <c r="B343" s="20" t="n">
        <v>11.18</v>
      </c>
      <c r="D343" s="22" t="n">
        <v>202</v>
      </c>
      <c r="E343" s="20" t="n">
        <v>12.04</v>
      </c>
      <c r="G343" s="22" t="n">
        <v>202</v>
      </c>
      <c r="H343" s="20" t="n">
        <v>12.04</v>
      </c>
    </row>
    <row r="344" customFormat="false" ht="15" hidden="false" customHeight="false" outlineLevel="0" collapsed="false">
      <c r="A344" s="22" t="n">
        <v>204</v>
      </c>
      <c r="B344" s="20" t="n">
        <v>11.18</v>
      </c>
      <c r="D344" s="22" t="n">
        <v>204</v>
      </c>
      <c r="E344" s="20" t="n">
        <v>12.04</v>
      </c>
      <c r="G344" s="22" t="n">
        <v>204</v>
      </c>
      <c r="H344" s="20" t="n">
        <v>12.04</v>
      </c>
    </row>
    <row r="345" customFormat="false" ht="15" hidden="false" customHeight="false" outlineLevel="0" collapsed="false">
      <c r="A345" s="22" t="n">
        <v>206</v>
      </c>
      <c r="B345" s="20" t="n">
        <v>11.44</v>
      </c>
      <c r="D345" s="22" t="n">
        <v>206</v>
      </c>
      <c r="E345" s="20" t="n">
        <v>12.32</v>
      </c>
      <c r="G345" s="22" t="n">
        <v>206</v>
      </c>
      <c r="H345" s="20" t="n">
        <v>12.32</v>
      </c>
    </row>
    <row r="346" customFormat="false" ht="15" hidden="false" customHeight="false" outlineLevel="0" collapsed="false">
      <c r="A346" s="22" t="n">
        <v>208</v>
      </c>
      <c r="B346" s="20" t="n">
        <v>11.44</v>
      </c>
      <c r="D346" s="22" t="n">
        <v>208</v>
      </c>
      <c r="E346" s="20" t="n">
        <v>12.32</v>
      </c>
      <c r="G346" s="22" t="n">
        <v>208</v>
      </c>
      <c r="H346" s="20" t="n">
        <v>12.32</v>
      </c>
    </row>
    <row r="347" customFormat="false" ht="15" hidden="false" customHeight="false" outlineLevel="0" collapsed="false">
      <c r="A347" s="22" t="n">
        <v>210</v>
      </c>
      <c r="B347" s="20" t="n">
        <v>11.7</v>
      </c>
      <c r="D347" s="22" t="n">
        <v>210</v>
      </c>
      <c r="E347" s="20" t="n">
        <v>12.6</v>
      </c>
      <c r="G347" s="22" t="n">
        <v>210</v>
      </c>
      <c r="H347" s="20" t="n">
        <v>12.6</v>
      </c>
    </row>
    <row r="348" customFormat="false" ht="15" hidden="false" customHeight="false" outlineLevel="0" collapsed="false">
      <c r="A348" s="22" t="n">
        <v>212</v>
      </c>
      <c r="B348" s="20" t="n">
        <v>11.7</v>
      </c>
      <c r="D348" s="22" t="n">
        <v>212</v>
      </c>
      <c r="E348" s="20" t="n">
        <v>12.6</v>
      </c>
      <c r="G348" s="22" t="n">
        <v>212</v>
      </c>
      <c r="H348" s="20" t="n">
        <v>12.6</v>
      </c>
    </row>
    <row r="349" customFormat="false" ht="15" hidden="false" customHeight="false" outlineLevel="0" collapsed="false">
      <c r="A349" s="22" t="n">
        <v>214</v>
      </c>
      <c r="B349" s="20" t="n">
        <v>11.96</v>
      </c>
      <c r="D349" s="22" t="n">
        <v>214</v>
      </c>
      <c r="E349" s="20" t="n">
        <v>12.88</v>
      </c>
      <c r="G349" s="22" t="n">
        <v>214</v>
      </c>
      <c r="H349" s="20" t="n">
        <v>12.88</v>
      </c>
    </row>
    <row r="350" customFormat="false" ht="15" hidden="false" customHeight="false" outlineLevel="0" collapsed="false">
      <c r="A350" s="22" t="n">
        <v>216</v>
      </c>
      <c r="B350" s="20" t="n">
        <v>11.96</v>
      </c>
      <c r="D350" s="22" t="n">
        <v>216</v>
      </c>
      <c r="E350" s="20" t="n">
        <v>12.88</v>
      </c>
      <c r="G350" s="22" t="n">
        <v>216</v>
      </c>
      <c r="H350" s="20" t="n">
        <v>12.88</v>
      </c>
    </row>
    <row r="351" customFormat="false" ht="15" hidden="false" customHeight="false" outlineLevel="0" collapsed="false">
      <c r="A351" s="22" t="n">
        <v>218</v>
      </c>
      <c r="B351" s="20" t="n">
        <v>12.22</v>
      </c>
      <c r="D351" s="22" t="n">
        <v>218</v>
      </c>
      <c r="E351" s="20" t="n">
        <v>13.16</v>
      </c>
      <c r="G351" s="22" t="n">
        <v>218</v>
      </c>
      <c r="H351" s="20" t="n">
        <v>13.16</v>
      </c>
    </row>
    <row r="352" customFormat="false" ht="15" hidden="false" customHeight="false" outlineLevel="0" collapsed="false">
      <c r="A352" s="22" t="n">
        <v>220</v>
      </c>
      <c r="B352" s="20" t="n">
        <v>12.22</v>
      </c>
      <c r="D352" s="22" t="n">
        <v>220</v>
      </c>
      <c r="E352" s="20" t="n">
        <v>13.16</v>
      </c>
      <c r="G352" s="22" t="n">
        <v>220</v>
      </c>
      <c r="H352" s="20" t="n">
        <v>13.16</v>
      </c>
    </row>
    <row r="353" customFormat="false" ht="15" hidden="false" customHeight="false" outlineLevel="0" collapsed="false">
      <c r="A353" s="22" t="n">
        <v>222</v>
      </c>
      <c r="B353" s="20" t="n">
        <v>12.48</v>
      </c>
      <c r="D353" s="22" t="n">
        <v>222</v>
      </c>
      <c r="E353" s="20" t="n">
        <v>13.44</v>
      </c>
      <c r="G353" s="22" t="n">
        <v>222</v>
      </c>
      <c r="H353" s="20" t="n">
        <v>13.44</v>
      </c>
    </row>
    <row r="354" customFormat="false" ht="15" hidden="false" customHeight="false" outlineLevel="0" collapsed="false">
      <c r="A354" s="22" t="n">
        <v>224</v>
      </c>
      <c r="B354" s="20" t="n">
        <v>12.48</v>
      </c>
      <c r="D354" s="22" t="n">
        <v>224</v>
      </c>
      <c r="E354" s="20" t="n">
        <v>13.44</v>
      </c>
      <c r="G354" s="22" t="n">
        <v>224</v>
      </c>
      <c r="H354" s="20" t="n">
        <v>13.44</v>
      </c>
    </row>
    <row r="355" customFormat="false" ht="15" hidden="false" customHeight="false" outlineLevel="0" collapsed="false">
      <c r="A355" s="22" t="n">
        <v>226</v>
      </c>
      <c r="B355" s="20" t="n">
        <v>12.74</v>
      </c>
      <c r="D355" s="22" t="n">
        <v>226</v>
      </c>
      <c r="E355" s="20" t="n">
        <v>13.72</v>
      </c>
      <c r="G355" s="22" t="n">
        <v>226</v>
      </c>
      <c r="H355" s="20" t="n">
        <v>13.72</v>
      </c>
    </row>
    <row r="356" customFormat="false" ht="15" hidden="false" customHeight="false" outlineLevel="0" collapsed="false">
      <c r="A356" s="22" t="n">
        <v>228</v>
      </c>
      <c r="B356" s="20" t="n">
        <v>12.74</v>
      </c>
      <c r="D356" s="22" t="n">
        <v>228</v>
      </c>
      <c r="E356" s="20" t="n">
        <v>13.72</v>
      </c>
      <c r="G356" s="22" t="n">
        <v>228</v>
      </c>
      <c r="H356" s="20" t="n">
        <v>13.72</v>
      </c>
    </row>
    <row r="357" customFormat="false" ht="15" hidden="false" customHeight="false" outlineLevel="0" collapsed="false">
      <c r="A357" s="22" t="n">
        <v>230</v>
      </c>
      <c r="B357" s="20" t="n">
        <v>13</v>
      </c>
      <c r="D357" s="22" t="n">
        <v>230</v>
      </c>
      <c r="E357" s="20" t="n">
        <v>14</v>
      </c>
      <c r="G357" s="22" t="n">
        <v>230</v>
      </c>
      <c r="H357" s="20" t="n">
        <v>14</v>
      </c>
    </row>
    <row r="358" customFormat="false" ht="15" hidden="false" customHeight="false" outlineLevel="0" collapsed="false">
      <c r="A358" s="22" t="n">
        <v>232</v>
      </c>
      <c r="B358" s="20" t="n">
        <v>13</v>
      </c>
      <c r="D358" s="22" t="n">
        <v>232</v>
      </c>
      <c r="E358" s="20" t="n">
        <v>14</v>
      </c>
      <c r="G358" s="22" t="n">
        <v>232</v>
      </c>
      <c r="H358" s="20" t="n">
        <v>14</v>
      </c>
    </row>
    <row r="359" customFormat="false" ht="15" hidden="false" customHeight="false" outlineLevel="0" collapsed="false">
      <c r="A359" s="22" t="n">
        <v>234</v>
      </c>
      <c r="B359" s="20" t="n">
        <v>13.26</v>
      </c>
      <c r="D359" s="22" t="n">
        <v>234</v>
      </c>
      <c r="E359" s="20" t="n">
        <v>14.28</v>
      </c>
      <c r="G359" s="22" t="n">
        <v>234</v>
      </c>
      <c r="H359" s="20" t="n">
        <v>14.28</v>
      </c>
    </row>
    <row r="360" customFormat="false" ht="15" hidden="false" customHeight="false" outlineLevel="0" collapsed="false">
      <c r="A360" s="22" t="n">
        <v>236</v>
      </c>
      <c r="B360" s="20" t="n">
        <v>13.26</v>
      </c>
      <c r="D360" s="22" t="n">
        <v>236</v>
      </c>
      <c r="E360" s="20" t="n">
        <v>14.28</v>
      </c>
      <c r="G360" s="22" t="n">
        <v>236</v>
      </c>
      <c r="H360" s="20" t="n">
        <v>14.28</v>
      </c>
    </row>
    <row r="361" customFormat="false" ht="15" hidden="false" customHeight="false" outlineLevel="0" collapsed="false">
      <c r="A361" s="22" t="n">
        <v>238</v>
      </c>
      <c r="B361" s="20" t="n">
        <v>13.52</v>
      </c>
      <c r="D361" s="22" t="n">
        <v>238</v>
      </c>
      <c r="E361" s="20" t="n">
        <v>14.56</v>
      </c>
      <c r="G361" s="22" t="n">
        <v>238</v>
      </c>
      <c r="H361" s="20" t="n">
        <v>14.56</v>
      </c>
    </row>
    <row r="362" customFormat="false" ht="15" hidden="false" customHeight="false" outlineLevel="0" collapsed="false">
      <c r="A362" s="22" t="n">
        <v>240</v>
      </c>
      <c r="B362" s="20" t="n">
        <v>13.52</v>
      </c>
      <c r="D362" s="22" t="n">
        <v>240</v>
      </c>
      <c r="E362" s="20" t="n">
        <v>14.56</v>
      </c>
      <c r="G362" s="22" t="n">
        <v>240</v>
      </c>
      <c r="H362" s="20" t="n">
        <v>14.56</v>
      </c>
    </row>
    <row r="363" customFormat="false" ht="15" hidden="false" customHeight="false" outlineLevel="0" collapsed="false">
      <c r="A363" s="22" t="n">
        <v>242</v>
      </c>
      <c r="B363" s="20" t="n">
        <v>13.78</v>
      </c>
      <c r="D363" s="22" t="n">
        <v>242</v>
      </c>
      <c r="E363" s="20" t="n">
        <v>14.84</v>
      </c>
      <c r="G363" s="22" t="n">
        <v>242</v>
      </c>
      <c r="H363" s="20" t="n">
        <v>14.84</v>
      </c>
    </row>
    <row r="364" customFormat="false" ht="15" hidden="false" customHeight="false" outlineLevel="0" collapsed="false">
      <c r="A364" s="22" t="n">
        <v>244</v>
      </c>
      <c r="B364" s="20" t="n">
        <v>13.78</v>
      </c>
      <c r="D364" s="22" t="n">
        <v>244</v>
      </c>
      <c r="E364" s="20" t="n">
        <v>14.84</v>
      </c>
      <c r="G364" s="22" t="n">
        <v>244</v>
      </c>
      <c r="H364" s="20" t="n">
        <v>14.84</v>
      </c>
    </row>
    <row r="365" customFormat="false" ht="15" hidden="false" customHeight="false" outlineLevel="0" collapsed="false">
      <c r="A365" s="22" t="n">
        <v>246</v>
      </c>
      <c r="B365" s="20" t="n">
        <v>14.04</v>
      </c>
      <c r="D365" s="22" t="n">
        <v>246</v>
      </c>
      <c r="E365" s="20" t="n">
        <v>15.12</v>
      </c>
      <c r="G365" s="22" t="n">
        <v>246</v>
      </c>
      <c r="H365" s="20" t="n">
        <v>15.12</v>
      </c>
    </row>
    <row r="366" customFormat="false" ht="15" hidden="false" customHeight="false" outlineLevel="0" collapsed="false">
      <c r="A366" s="22" t="n">
        <v>248</v>
      </c>
      <c r="B366" s="20" t="n">
        <v>14.04</v>
      </c>
      <c r="D366" s="22" t="n">
        <v>248</v>
      </c>
      <c r="E366" s="20" t="n">
        <v>15.12</v>
      </c>
      <c r="G366" s="22" t="n">
        <v>248</v>
      </c>
      <c r="H366" s="20" t="n">
        <v>15.12</v>
      </c>
    </row>
    <row r="367" customFormat="false" ht="15" hidden="false" customHeight="false" outlineLevel="0" collapsed="false">
      <c r="A367" s="22" t="n">
        <v>250</v>
      </c>
      <c r="B367" s="20" t="n">
        <v>14.3</v>
      </c>
      <c r="D367" s="22" t="n">
        <v>250</v>
      </c>
      <c r="E367" s="20" t="n">
        <v>15.4</v>
      </c>
      <c r="G367" s="22" t="n">
        <v>250</v>
      </c>
      <c r="H367" s="20" t="n">
        <v>15.4</v>
      </c>
    </row>
    <row r="368" customFormat="false" ht="15" hidden="false" customHeight="false" outlineLevel="0" collapsed="false">
      <c r="A368" s="22" t="n">
        <v>252</v>
      </c>
      <c r="B368" s="20" t="n">
        <v>14.3</v>
      </c>
      <c r="D368" s="22" t="n">
        <v>252</v>
      </c>
      <c r="E368" s="20" t="n">
        <v>15.4</v>
      </c>
      <c r="G368" s="22" t="n">
        <v>252</v>
      </c>
      <c r="H368" s="20" t="n">
        <v>15.4</v>
      </c>
    </row>
    <row r="369" customFormat="false" ht="15" hidden="false" customHeight="false" outlineLevel="0" collapsed="false">
      <c r="A369" s="22" t="n">
        <v>254</v>
      </c>
      <c r="B369" s="20" t="n">
        <v>14.56</v>
      </c>
      <c r="D369" s="22" t="n">
        <v>254</v>
      </c>
      <c r="E369" s="20" t="n">
        <v>15.68</v>
      </c>
      <c r="G369" s="22" t="n">
        <v>254</v>
      </c>
      <c r="H369" s="20" t="n">
        <v>15.68</v>
      </c>
    </row>
    <row r="370" customFormat="false" ht="15" hidden="false" customHeight="false" outlineLevel="0" collapsed="false">
      <c r="A370" s="22" t="n">
        <v>256</v>
      </c>
      <c r="B370" s="20" t="n">
        <v>14.56</v>
      </c>
      <c r="D370" s="22" t="n">
        <v>256</v>
      </c>
      <c r="E370" s="20" t="n">
        <v>15.68</v>
      </c>
      <c r="G370" s="22" t="n">
        <v>256</v>
      </c>
      <c r="H370" s="20" t="n">
        <v>15.68</v>
      </c>
    </row>
    <row r="371" customFormat="false" ht="15" hidden="false" customHeight="false" outlineLevel="0" collapsed="false">
      <c r="A371" s="22" t="n">
        <v>258</v>
      </c>
      <c r="B371" s="20" t="n">
        <v>14.82</v>
      </c>
      <c r="D371" s="22" t="n">
        <v>258</v>
      </c>
      <c r="E371" s="20" t="n">
        <v>15.96</v>
      </c>
      <c r="G371" s="22" t="n">
        <v>258</v>
      </c>
      <c r="H371" s="20" t="n">
        <v>15.96</v>
      </c>
    </row>
    <row r="372" customFormat="false" ht="15" hidden="false" customHeight="false" outlineLevel="0" collapsed="false">
      <c r="A372" s="22" t="n">
        <v>260</v>
      </c>
      <c r="B372" s="20" t="n">
        <v>14.82</v>
      </c>
      <c r="D372" s="22" t="n">
        <v>260</v>
      </c>
      <c r="E372" s="20" t="n">
        <v>15.96</v>
      </c>
      <c r="G372" s="22" t="n">
        <v>260</v>
      </c>
      <c r="H372" s="20" t="n">
        <v>15.96</v>
      </c>
    </row>
    <row r="373" customFormat="false" ht="15" hidden="false" customHeight="false" outlineLevel="0" collapsed="false">
      <c r="A373" s="22" t="n">
        <v>262</v>
      </c>
      <c r="B373" s="20" t="n">
        <v>15.08</v>
      </c>
      <c r="D373" s="22" t="n">
        <v>262</v>
      </c>
      <c r="E373" s="20" t="n">
        <v>16.24</v>
      </c>
      <c r="G373" s="22" t="n">
        <v>262</v>
      </c>
      <c r="H373" s="20" t="n">
        <v>16.24</v>
      </c>
    </row>
    <row r="374" customFormat="false" ht="15" hidden="false" customHeight="false" outlineLevel="0" collapsed="false">
      <c r="A374" s="22" t="n">
        <v>264</v>
      </c>
      <c r="B374" s="20" t="n">
        <v>15.08</v>
      </c>
      <c r="D374" s="22" t="n">
        <v>264</v>
      </c>
      <c r="E374" s="20" t="n">
        <v>16.24</v>
      </c>
      <c r="G374" s="22" t="n">
        <v>264</v>
      </c>
      <c r="H374" s="20" t="n">
        <v>16.24</v>
      </c>
    </row>
    <row r="375" customFormat="false" ht="15" hidden="false" customHeight="false" outlineLevel="0" collapsed="false">
      <c r="A375" s="22" t="n">
        <v>266</v>
      </c>
      <c r="B375" s="20" t="n">
        <v>15.34</v>
      </c>
      <c r="D375" s="22" t="n">
        <v>266</v>
      </c>
      <c r="E375" s="20" t="n">
        <v>16.52</v>
      </c>
      <c r="G375" s="22" t="n">
        <v>266</v>
      </c>
      <c r="H375" s="20" t="n">
        <v>16.52</v>
      </c>
    </row>
    <row r="376" customFormat="false" ht="15" hidden="false" customHeight="false" outlineLevel="0" collapsed="false">
      <c r="A376" s="22" t="n">
        <v>268</v>
      </c>
      <c r="B376" s="20" t="n">
        <v>15.34</v>
      </c>
      <c r="D376" s="22" t="n">
        <v>268</v>
      </c>
      <c r="E376" s="20" t="n">
        <v>16.52</v>
      </c>
      <c r="G376" s="22" t="n">
        <v>268</v>
      </c>
      <c r="H376" s="20" t="n">
        <v>16.52</v>
      </c>
    </row>
    <row r="377" customFormat="false" ht="15" hidden="false" customHeight="false" outlineLevel="0" collapsed="false">
      <c r="A377" s="22" t="n">
        <v>270</v>
      </c>
      <c r="B377" s="20" t="n">
        <v>15.6</v>
      </c>
      <c r="D377" s="22" t="n">
        <v>270</v>
      </c>
      <c r="E377" s="20" t="n">
        <v>16.8</v>
      </c>
      <c r="G377" s="22" t="n">
        <v>270</v>
      </c>
      <c r="H377" s="20" t="n">
        <v>16.8</v>
      </c>
    </row>
    <row r="378" customFormat="false" ht="15" hidden="false" customHeight="false" outlineLevel="0" collapsed="false">
      <c r="A378" s="22" t="n">
        <v>272</v>
      </c>
      <c r="B378" s="20" t="n">
        <v>15.6</v>
      </c>
      <c r="D378" s="22" t="n">
        <v>272</v>
      </c>
      <c r="E378" s="20" t="n">
        <v>16.8</v>
      </c>
      <c r="G378" s="22" t="n">
        <v>272</v>
      </c>
      <c r="H378" s="20" t="n">
        <v>16.8</v>
      </c>
    </row>
    <row r="379" customFormat="false" ht="15" hidden="false" customHeight="false" outlineLevel="0" collapsed="false">
      <c r="A379" s="22" t="n">
        <v>274</v>
      </c>
      <c r="B379" s="20" t="n">
        <v>15.86</v>
      </c>
      <c r="D379" s="22" t="n">
        <v>274</v>
      </c>
      <c r="E379" s="20" t="n">
        <v>17.08</v>
      </c>
      <c r="G379" s="22" t="n">
        <v>274</v>
      </c>
      <c r="H379" s="20" t="n">
        <v>17.08</v>
      </c>
    </row>
    <row r="380" customFormat="false" ht="15" hidden="false" customHeight="false" outlineLevel="0" collapsed="false">
      <c r="A380" s="22" t="n">
        <v>276</v>
      </c>
      <c r="B380" s="20" t="n">
        <v>15.86</v>
      </c>
      <c r="D380" s="22" t="n">
        <v>276</v>
      </c>
      <c r="E380" s="20" t="n">
        <v>17.08</v>
      </c>
      <c r="G380" s="22" t="n">
        <v>276</v>
      </c>
      <c r="H380" s="20" t="n">
        <v>17.08</v>
      </c>
    </row>
    <row r="381" customFormat="false" ht="15" hidden="false" customHeight="false" outlineLevel="0" collapsed="false">
      <c r="A381" s="22" t="n">
        <v>278</v>
      </c>
      <c r="B381" s="20" t="n">
        <v>16.12</v>
      </c>
      <c r="D381" s="22" t="n">
        <v>278</v>
      </c>
      <c r="E381" s="20" t="n">
        <v>17.36</v>
      </c>
      <c r="G381" s="22" t="n">
        <v>278</v>
      </c>
      <c r="H381" s="20" t="n">
        <v>17.36</v>
      </c>
    </row>
    <row r="382" customFormat="false" ht="15" hidden="false" customHeight="false" outlineLevel="0" collapsed="false">
      <c r="A382" s="22" t="n">
        <v>280</v>
      </c>
      <c r="B382" s="20" t="n">
        <v>16.12</v>
      </c>
      <c r="D382" s="22" t="n">
        <v>280</v>
      </c>
      <c r="E382" s="20" t="n">
        <v>17.36</v>
      </c>
      <c r="G382" s="22" t="n">
        <v>280</v>
      </c>
      <c r="H382" s="20" t="n">
        <v>17.36</v>
      </c>
    </row>
    <row r="383" customFormat="false" ht="15" hidden="false" customHeight="false" outlineLevel="0" collapsed="false">
      <c r="A383" s="22" t="n">
        <v>282</v>
      </c>
      <c r="B383" s="20" t="n">
        <v>16.38</v>
      </c>
      <c r="D383" s="22" t="n">
        <v>282</v>
      </c>
      <c r="E383" s="20" t="n">
        <v>17.64</v>
      </c>
      <c r="G383" s="22" t="n">
        <v>282</v>
      </c>
      <c r="H383" s="20" t="n">
        <v>17.64</v>
      </c>
    </row>
    <row r="384" customFormat="false" ht="15" hidden="false" customHeight="false" outlineLevel="0" collapsed="false">
      <c r="A384" s="22" t="n">
        <v>284</v>
      </c>
      <c r="B384" s="20" t="n">
        <v>16.38</v>
      </c>
      <c r="D384" s="22" t="n">
        <v>284</v>
      </c>
      <c r="E384" s="20" t="n">
        <v>17.64</v>
      </c>
      <c r="G384" s="22" t="n">
        <v>284</v>
      </c>
      <c r="H384" s="20" t="n">
        <v>17.64</v>
      </c>
    </row>
    <row r="385" customFormat="false" ht="15" hidden="false" customHeight="false" outlineLevel="0" collapsed="false">
      <c r="A385" s="22" t="n">
        <v>286</v>
      </c>
      <c r="B385" s="20" t="n">
        <v>16.64</v>
      </c>
      <c r="D385" s="22" t="n">
        <v>286</v>
      </c>
      <c r="E385" s="20" t="n">
        <v>17.92</v>
      </c>
      <c r="G385" s="22" t="n">
        <v>286</v>
      </c>
      <c r="H385" s="20" t="n">
        <v>17.92</v>
      </c>
    </row>
    <row r="386" customFormat="false" ht="15" hidden="false" customHeight="false" outlineLevel="0" collapsed="false">
      <c r="A386" s="22" t="n">
        <v>288</v>
      </c>
      <c r="B386" s="20" t="n">
        <v>16.64</v>
      </c>
      <c r="D386" s="22" t="n">
        <v>288</v>
      </c>
      <c r="E386" s="20" t="n">
        <v>17.92</v>
      </c>
      <c r="G386" s="22" t="n">
        <v>288</v>
      </c>
      <c r="H386" s="20" t="n">
        <v>17.92</v>
      </c>
    </row>
    <row r="387" customFormat="false" ht="15" hidden="false" customHeight="false" outlineLevel="0" collapsed="false">
      <c r="A387" s="22" t="n">
        <v>290</v>
      </c>
      <c r="B387" s="20" t="n">
        <v>16.9</v>
      </c>
      <c r="D387" s="22" t="n">
        <v>290</v>
      </c>
      <c r="E387" s="20" t="n">
        <v>18.2</v>
      </c>
      <c r="G387" s="22" t="n">
        <v>290</v>
      </c>
      <c r="H387" s="20" t="n">
        <v>18.2</v>
      </c>
    </row>
    <row r="388" customFormat="false" ht="15" hidden="false" customHeight="false" outlineLevel="0" collapsed="false">
      <c r="A388" s="22" t="n">
        <v>292</v>
      </c>
      <c r="B388" s="20" t="n">
        <v>16.9</v>
      </c>
      <c r="D388" s="22" t="n">
        <v>292</v>
      </c>
      <c r="E388" s="20" t="n">
        <v>18.2</v>
      </c>
      <c r="G388" s="22" t="n">
        <v>292</v>
      </c>
      <c r="H388" s="20" t="n">
        <v>18.2</v>
      </c>
    </row>
    <row r="389" customFormat="false" ht="15" hidden="false" customHeight="false" outlineLevel="0" collapsed="false">
      <c r="A389" s="22" t="n">
        <v>294</v>
      </c>
      <c r="B389" s="20" t="n">
        <v>17.16</v>
      </c>
      <c r="D389" s="22" t="n">
        <v>294</v>
      </c>
      <c r="E389" s="20" t="n">
        <v>18.48</v>
      </c>
      <c r="G389" s="22" t="n">
        <v>294</v>
      </c>
      <c r="H389" s="20" t="n">
        <v>18.48</v>
      </c>
    </row>
    <row r="390" customFormat="false" ht="15" hidden="false" customHeight="false" outlineLevel="0" collapsed="false">
      <c r="A390" s="22" t="n">
        <v>296</v>
      </c>
      <c r="B390" s="20" t="n">
        <v>17.16</v>
      </c>
      <c r="D390" s="22" t="n">
        <v>296</v>
      </c>
      <c r="E390" s="20" t="n">
        <v>18.48</v>
      </c>
      <c r="G390" s="22" t="n">
        <v>296</v>
      </c>
      <c r="H390" s="20" t="n">
        <v>18.48</v>
      </c>
    </row>
    <row r="391" customFormat="false" ht="15" hidden="false" customHeight="false" outlineLevel="0" collapsed="false">
      <c r="A391" s="22" t="n">
        <v>298</v>
      </c>
      <c r="B391" s="20" t="n">
        <v>17.42</v>
      </c>
      <c r="D391" s="22" t="n">
        <v>298</v>
      </c>
      <c r="E391" s="20" t="n">
        <v>18.76</v>
      </c>
      <c r="G391" s="22" t="n">
        <v>298</v>
      </c>
      <c r="H391" s="20" t="n">
        <v>18.76</v>
      </c>
    </row>
    <row r="392" customFormat="false" ht="15" hidden="false" customHeight="false" outlineLevel="0" collapsed="false">
      <c r="A392" s="22" t="n">
        <v>300</v>
      </c>
      <c r="B392" s="20" t="n">
        <v>17.42</v>
      </c>
      <c r="D392" s="22" t="n">
        <v>300</v>
      </c>
      <c r="E392" s="20" t="n">
        <v>18.76</v>
      </c>
      <c r="G392" s="22" t="n">
        <v>300</v>
      </c>
      <c r="H392" s="20" t="n">
        <v>18.76</v>
      </c>
    </row>
    <row r="393" customFormat="false" ht="15" hidden="false" customHeight="false" outlineLevel="0" collapsed="false">
      <c r="A393" s="22" t="n">
        <v>302</v>
      </c>
      <c r="B393" s="20" t="n">
        <v>17.68</v>
      </c>
      <c r="D393" s="22" t="n">
        <v>302</v>
      </c>
      <c r="E393" s="20" t="n">
        <v>19.04</v>
      </c>
      <c r="G393" s="22" t="n">
        <v>302</v>
      </c>
      <c r="H393" s="20" t="n">
        <v>19.04</v>
      </c>
    </row>
    <row r="394" customFormat="false" ht="15" hidden="false" customHeight="false" outlineLevel="0" collapsed="false">
      <c r="A394" s="22" t="n">
        <v>304</v>
      </c>
      <c r="B394" s="20" t="n">
        <v>17.68</v>
      </c>
      <c r="D394" s="22" t="n">
        <v>304</v>
      </c>
      <c r="E394" s="20" t="n">
        <v>19.04</v>
      </c>
      <c r="G394" s="22" t="n">
        <v>304</v>
      </c>
      <c r="H394" s="20" t="n">
        <v>19.04</v>
      </c>
    </row>
    <row r="395" customFormat="false" ht="15" hidden="false" customHeight="false" outlineLevel="0" collapsed="false">
      <c r="A395" s="22" t="n">
        <v>306</v>
      </c>
      <c r="B395" s="20" t="n">
        <v>17.94</v>
      </c>
      <c r="D395" s="22" t="n">
        <v>306</v>
      </c>
      <c r="E395" s="20" t="n">
        <v>19.32</v>
      </c>
      <c r="G395" s="22" t="n">
        <v>306</v>
      </c>
      <c r="H395" s="20" t="n">
        <v>19.32</v>
      </c>
    </row>
    <row r="396" customFormat="false" ht="15" hidden="false" customHeight="false" outlineLevel="0" collapsed="false">
      <c r="A396" s="22" t="n">
        <v>308</v>
      </c>
      <c r="B396" s="20" t="n">
        <v>17.94</v>
      </c>
      <c r="D396" s="22" t="n">
        <v>308</v>
      </c>
      <c r="E396" s="20" t="n">
        <v>19.32</v>
      </c>
      <c r="G396" s="22" t="n">
        <v>308</v>
      </c>
      <c r="H396" s="20" t="n">
        <v>19.32</v>
      </c>
    </row>
    <row r="397" customFormat="false" ht="15" hidden="false" customHeight="false" outlineLevel="0" collapsed="false">
      <c r="A397" s="22" t="n">
        <v>310</v>
      </c>
      <c r="B397" s="20" t="n">
        <v>18.2</v>
      </c>
      <c r="D397" s="22" t="n">
        <v>310</v>
      </c>
      <c r="E397" s="20" t="n">
        <v>19.6</v>
      </c>
      <c r="G397" s="22" t="n">
        <v>310</v>
      </c>
      <c r="H397" s="20" t="n">
        <v>19.6</v>
      </c>
    </row>
    <row r="398" customFormat="false" ht="15" hidden="false" customHeight="false" outlineLevel="0" collapsed="false">
      <c r="A398" s="22" t="n">
        <v>312</v>
      </c>
      <c r="B398" s="20" t="n">
        <v>18.2</v>
      </c>
      <c r="D398" s="22" t="n">
        <v>312</v>
      </c>
      <c r="E398" s="20" t="n">
        <v>19.6</v>
      </c>
      <c r="G398" s="22" t="n">
        <v>312</v>
      </c>
      <c r="H398" s="20" t="n">
        <v>19.6</v>
      </c>
    </row>
    <row r="399" customFormat="false" ht="15" hidden="false" customHeight="false" outlineLevel="0" collapsed="false">
      <c r="A399" s="22" t="n">
        <v>314</v>
      </c>
      <c r="B399" s="20" t="n">
        <v>18.46</v>
      </c>
      <c r="D399" s="22" t="n">
        <v>314</v>
      </c>
      <c r="E399" s="20" t="n">
        <v>19.88</v>
      </c>
      <c r="G399" s="22" t="n">
        <v>314</v>
      </c>
      <c r="H399" s="20" t="n">
        <v>19.88</v>
      </c>
    </row>
    <row r="400" customFormat="false" ht="15" hidden="false" customHeight="false" outlineLevel="0" collapsed="false">
      <c r="A400" s="22" t="n">
        <v>316</v>
      </c>
      <c r="B400" s="20" t="n">
        <v>18.46</v>
      </c>
      <c r="D400" s="22" t="n">
        <v>316</v>
      </c>
      <c r="E400" s="20" t="n">
        <v>19.88</v>
      </c>
      <c r="G400" s="22" t="n">
        <v>316</v>
      </c>
      <c r="H400" s="20" t="n">
        <v>19.88</v>
      </c>
    </row>
    <row r="401" customFormat="false" ht="15" hidden="false" customHeight="false" outlineLevel="0" collapsed="false">
      <c r="A401" s="22" t="n">
        <v>318</v>
      </c>
      <c r="B401" s="20" t="n">
        <v>18.72</v>
      </c>
      <c r="D401" s="22" t="n">
        <v>318</v>
      </c>
      <c r="E401" s="20" t="n">
        <v>20.16</v>
      </c>
      <c r="G401" s="22" t="n">
        <v>318</v>
      </c>
      <c r="H401" s="20" t="n">
        <v>20.16</v>
      </c>
    </row>
    <row r="402" customFormat="false" ht="15" hidden="false" customHeight="false" outlineLevel="0" collapsed="false">
      <c r="A402" s="22" t="n">
        <v>320</v>
      </c>
      <c r="B402" s="20" t="n">
        <v>18.72</v>
      </c>
      <c r="D402" s="22" t="n">
        <v>320</v>
      </c>
      <c r="E402" s="20" t="n">
        <v>20.16</v>
      </c>
      <c r="G402" s="22" t="n">
        <v>320</v>
      </c>
      <c r="H402" s="20" t="n">
        <v>20.16</v>
      </c>
    </row>
    <row r="403" customFormat="false" ht="15" hidden="false" customHeight="false" outlineLevel="0" collapsed="false">
      <c r="A403" s="22" t="n">
        <v>322</v>
      </c>
      <c r="B403" s="20" t="n">
        <v>18.98</v>
      </c>
      <c r="D403" s="22" t="n">
        <v>322</v>
      </c>
      <c r="E403" s="20" t="n">
        <v>20.44</v>
      </c>
      <c r="G403" s="22" t="n">
        <v>322</v>
      </c>
      <c r="H403" s="20" t="n">
        <v>20.44</v>
      </c>
    </row>
    <row r="404" customFormat="false" ht="15" hidden="false" customHeight="false" outlineLevel="0" collapsed="false">
      <c r="A404" s="22" t="n">
        <v>324</v>
      </c>
      <c r="B404" s="20" t="n">
        <v>18.98</v>
      </c>
      <c r="D404" s="22" t="n">
        <v>324</v>
      </c>
      <c r="E404" s="20" t="n">
        <v>20.44</v>
      </c>
      <c r="G404" s="22" t="n">
        <v>324</v>
      </c>
      <c r="H404" s="20" t="n">
        <v>20.44</v>
      </c>
    </row>
    <row r="405" customFormat="false" ht="15" hidden="false" customHeight="false" outlineLevel="0" collapsed="false">
      <c r="A405" s="22" t="n">
        <v>326</v>
      </c>
      <c r="B405" s="20" t="n">
        <v>19.24</v>
      </c>
      <c r="D405" s="22" t="n">
        <v>326</v>
      </c>
      <c r="E405" s="20" t="n">
        <v>20.72</v>
      </c>
      <c r="G405" s="22" t="n">
        <v>326</v>
      </c>
      <c r="H405" s="20" t="n">
        <v>20.72</v>
      </c>
    </row>
    <row r="406" customFormat="false" ht="15" hidden="false" customHeight="false" outlineLevel="0" collapsed="false">
      <c r="A406" s="22" t="n">
        <v>328</v>
      </c>
      <c r="B406" s="20" t="n">
        <v>19.24</v>
      </c>
      <c r="D406" s="22" t="n">
        <v>328</v>
      </c>
      <c r="E406" s="20" t="n">
        <v>20.72</v>
      </c>
      <c r="G406" s="22" t="n">
        <v>328</v>
      </c>
      <c r="H406" s="20" t="n">
        <v>20.72</v>
      </c>
    </row>
    <row r="407" customFormat="false" ht="15" hidden="false" customHeight="false" outlineLevel="0" collapsed="false">
      <c r="A407" s="22" t="n">
        <v>330</v>
      </c>
      <c r="B407" s="20" t="n">
        <v>19.5</v>
      </c>
      <c r="D407" s="22" t="n">
        <v>330</v>
      </c>
      <c r="E407" s="20" t="n">
        <v>21</v>
      </c>
      <c r="G407" s="22" t="n">
        <v>330</v>
      </c>
      <c r="H407" s="20" t="n">
        <v>21</v>
      </c>
    </row>
    <row r="408" customFormat="false" ht="15" hidden="false" customHeight="false" outlineLevel="0" collapsed="false">
      <c r="A408" s="22" t="n">
        <v>332</v>
      </c>
      <c r="B408" s="20" t="n">
        <v>19.5</v>
      </c>
      <c r="D408" s="22" t="n">
        <v>332</v>
      </c>
      <c r="E408" s="20" t="n">
        <v>21</v>
      </c>
      <c r="G408" s="22" t="n">
        <v>332</v>
      </c>
      <c r="H408" s="20" t="n">
        <v>21</v>
      </c>
    </row>
    <row r="409" customFormat="false" ht="15" hidden="false" customHeight="false" outlineLevel="0" collapsed="false">
      <c r="A409" s="22" t="n">
        <v>334</v>
      </c>
      <c r="B409" s="20" t="n">
        <v>19.76</v>
      </c>
      <c r="D409" s="22" t="n">
        <v>334</v>
      </c>
      <c r="E409" s="20" t="n">
        <v>21.28</v>
      </c>
      <c r="G409" s="22" t="n">
        <v>334</v>
      </c>
      <c r="H409" s="20" t="n">
        <v>21.28</v>
      </c>
    </row>
    <row r="410" customFormat="false" ht="15" hidden="false" customHeight="false" outlineLevel="0" collapsed="false">
      <c r="A410" s="22" t="n">
        <v>336</v>
      </c>
      <c r="B410" s="20" t="n">
        <v>19.76</v>
      </c>
      <c r="D410" s="22" t="n">
        <v>336</v>
      </c>
      <c r="E410" s="20" t="n">
        <v>21.28</v>
      </c>
      <c r="G410" s="22" t="n">
        <v>336</v>
      </c>
      <c r="H410" s="20" t="n">
        <v>21.28</v>
      </c>
    </row>
    <row r="411" customFormat="false" ht="15" hidden="false" customHeight="false" outlineLevel="0" collapsed="false">
      <c r="A411" s="22" t="n">
        <v>338</v>
      </c>
      <c r="B411" s="20" t="n">
        <v>20.02</v>
      </c>
      <c r="D411" s="22" t="n">
        <v>338</v>
      </c>
      <c r="E411" s="20" t="n">
        <v>21.56</v>
      </c>
      <c r="G411" s="22" t="n">
        <v>338</v>
      </c>
      <c r="H411" s="20" t="n">
        <v>21.56</v>
      </c>
    </row>
    <row r="412" customFormat="false" ht="15" hidden="false" customHeight="false" outlineLevel="0" collapsed="false">
      <c r="A412" s="22" t="n">
        <v>340</v>
      </c>
      <c r="B412" s="20" t="n">
        <v>20.02</v>
      </c>
      <c r="D412" s="22" t="n">
        <v>340</v>
      </c>
      <c r="E412" s="20" t="n">
        <v>21.56</v>
      </c>
      <c r="G412" s="22" t="n">
        <v>340</v>
      </c>
      <c r="H412" s="20" t="n">
        <v>21.56</v>
      </c>
    </row>
    <row r="413" customFormat="false" ht="15" hidden="false" customHeight="false" outlineLevel="0" collapsed="false">
      <c r="A413" s="22" t="n">
        <v>342</v>
      </c>
      <c r="B413" s="20" t="n">
        <v>20.28</v>
      </c>
      <c r="D413" s="22" t="n">
        <v>342</v>
      </c>
      <c r="E413" s="20" t="n">
        <v>21.84</v>
      </c>
      <c r="G413" s="22" t="n">
        <v>342</v>
      </c>
      <c r="H413" s="20" t="n">
        <v>21.84</v>
      </c>
    </row>
    <row r="414" customFormat="false" ht="15" hidden="false" customHeight="false" outlineLevel="0" collapsed="false">
      <c r="A414" s="22" t="n">
        <v>344</v>
      </c>
      <c r="B414" s="20" t="n">
        <v>20.28</v>
      </c>
      <c r="D414" s="22" t="n">
        <v>344</v>
      </c>
      <c r="E414" s="20" t="n">
        <v>21.84</v>
      </c>
      <c r="G414" s="22" t="n">
        <v>344</v>
      </c>
      <c r="H414" s="20" t="n">
        <v>21.84</v>
      </c>
    </row>
    <row r="415" customFormat="false" ht="15" hidden="false" customHeight="false" outlineLevel="0" collapsed="false">
      <c r="A415" s="22" t="n">
        <v>346</v>
      </c>
      <c r="B415" s="20" t="n">
        <v>20.54</v>
      </c>
      <c r="D415" s="22" t="n">
        <v>346</v>
      </c>
      <c r="E415" s="20" t="n">
        <v>22.12</v>
      </c>
      <c r="G415" s="22" t="n">
        <v>346</v>
      </c>
      <c r="H415" s="20" t="n">
        <v>22.12</v>
      </c>
    </row>
    <row r="416" customFormat="false" ht="15" hidden="false" customHeight="false" outlineLevel="0" collapsed="false">
      <c r="A416" s="22" t="n">
        <v>348</v>
      </c>
      <c r="B416" s="20" t="n">
        <v>20.54</v>
      </c>
      <c r="D416" s="22" t="n">
        <v>348</v>
      </c>
      <c r="E416" s="20" t="n">
        <v>22.12</v>
      </c>
      <c r="G416" s="22" t="n">
        <v>348</v>
      </c>
      <c r="H416" s="20" t="n">
        <v>22.12</v>
      </c>
    </row>
    <row r="417" customFormat="false" ht="15" hidden="false" customHeight="false" outlineLevel="0" collapsed="false">
      <c r="A417" s="22" t="n">
        <v>350</v>
      </c>
      <c r="B417" s="20" t="n">
        <v>20.8</v>
      </c>
      <c r="D417" s="22" t="n">
        <v>350</v>
      </c>
      <c r="E417" s="20" t="n">
        <v>22.4</v>
      </c>
      <c r="G417" s="22" t="n">
        <v>350</v>
      </c>
      <c r="H417" s="20" t="n">
        <v>22.4</v>
      </c>
    </row>
  </sheetData>
  <mergeCells count="25">
    <mergeCell ref="A1:I1"/>
    <mergeCell ref="A2:I2"/>
    <mergeCell ref="C5:I5"/>
    <mergeCell ref="K7:L7"/>
    <mergeCell ref="A24:I24"/>
    <mergeCell ref="A25:I25"/>
    <mergeCell ref="A37:I37"/>
    <mergeCell ref="A45:I45"/>
    <mergeCell ref="A53:I53"/>
    <mergeCell ref="A64:I64"/>
    <mergeCell ref="A65:I65"/>
    <mergeCell ref="A84:I84"/>
    <mergeCell ref="A86:B86"/>
    <mergeCell ref="D86:E86"/>
    <mergeCell ref="G86:H86"/>
    <mergeCell ref="A87:B87"/>
    <mergeCell ref="D87:E87"/>
    <mergeCell ref="G87:H87"/>
    <mergeCell ref="A251:I251"/>
    <mergeCell ref="A253:B253"/>
    <mergeCell ref="D253:E253"/>
    <mergeCell ref="G253:H253"/>
    <mergeCell ref="A254:B254"/>
    <mergeCell ref="D254:E254"/>
    <mergeCell ref="G254:H2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20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21.75" hidden="false" customHeight="true" outlineLevel="0" collapsed="false">
      <c r="A1" s="16" t="s">
        <v>84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true" outlineLevel="0" collapsed="false">
      <c r="A2" s="17" t="s">
        <v>85</v>
      </c>
      <c r="B2" s="17"/>
      <c r="C2" s="17"/>
      <c r="D2" s="17"/>
      <c r="E2" s="17"/>
      <c r="F2" s="17"/>
      <c r="G2" s="17"/>
      <c r="H2" s="17"/>
      <c r="I2" s="17"/>
    </row>
    <row r="5" customFormat="false" ht="15" hidden="false" customHeight="true" outlineLevel="0" collapsed="false">
      <c r="A5" s="27" t="s">
        <v>2</v>
      </c>
      <c r="B5" s="20" t="n">
        <v>15.69</v>
      </c>
      <c r="C5" s="28" t="s">
        <v>86</v>
      </c>
      <c r="D5" s="28"/>
      <c r="E5" s="28"/>
      <c r="F5" s="28"/>
      <c r="G5" s="28"/>
      <c r="H5" s="28"/>
      <c r="I5" s="28"/>
    </row>
    <row r="7" customFormat="false" ht="30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K7" s="18" t="s">
        <v>13</v>
      </c>
      <c r="L7" s="18"/>
    </row>
    <row r="8" customFormat="false" ht="15" hidden="false" customHeight="true" outlineLevel="0" collapsed="false">
      <c r="A8" s="29" t="n">
        <v>1</v>
      </c>
      <c r="B8" s="30" t="n">
        <v>0</v>
      </c>
      <c r="C8" s="23" t="n">
        <f aca="false">$B$5</f>
        <v>15.69</v>
      </c>
      <c r="D8" s="23" t="n">
        <f aca="false">C8*(1-B8)</f>
        <v>15.69</v>
      </c>
      <c r="E8" s="23" t="n">
        <f aca="false">A8*C8</f>
        <v>15.69</v>
      </c>
      <c r="F8" s="23" t="n">
        <f aca="false">A8*D8</f>
        <v>15.69</v>
      </c>
      <c r="G8" s="23" t="n">
        <f aca="false">E8-F8</f>
        <v>0</v>
      </c>
      <c r="H8" s="23" t="n">
        <f aca="false">C8-D8</f>
        <v>0</v>
      </c>
      <c r="I8" s="31" t="s">
        <v>14</v>
      </c>
      <c r="K8" s="21" t="s">
        <v>15</v>
      </c>
      <c r="L8" s="24" t="n">
        <f aca="false">MAX(B8:B20)</f>
        <v>0.649</v>
      </c>
    </row>
    <row r="9" customFormat="false" ht="15" hidden="false" customHeight="true" outlineLevel="0" collapsed="false">
      <c r="A9" s="29" t="n">
        <v>2</v>
      </c>
      <c r="B9" s="30" t="n">
        <v>0.062</v>
      </c>
      <c r="C9" s="23" t="n">
        <f aca="false">$B$5</f>
        <v>15.69</v>
      </c>
      <c r="D9" s="23" t="n">
        <f aca="false">C9*(1-B9)</f>
        <v>14.71722</v>
      </c>
      <c r="E9" s="23" t="n">
        <f aca="false">A9*C9</f>
        <v>31.38</v>
      </c>
      <c r="F9" s="23" t="n">
        <f aca="false">A9*D9</f>
        <v>29.43444</v>
      </c>
      <c r="G9" s="23" t="n">
        <f aca="false">E9-F9</f>
        <v>1.94556</v>
      </c>
      <c r="H9" s="23" t="n">
        <f aca="false">C9-D9</f>
        <v>0.97278</v>
      </c>
      <c r="I9" s="31" t="s">
        <v>14</v>
      </c>
      <c r="K9" s="21" t="s">
        <v>16</v>
      </c>
      <c r="L9" s="23" t="n">
        <f aca="false">MIN(D8:D20)</f>
        <v>5.50719</v>
      </c>
    </row>
    <row r="10" customFormat="false" ht="15" hidden="false" customHeight="true" outlineLevel="0" collapsed="false">
      <c r="A10" s="29" t="n">
        <v>5</v>
      </c>
      <c r="B10" s="30" t="n">
        <v>0.118</v>
      </c>
      <c r="C10" s="23" t="n">
        <f aca="false">$B$5</f>
        <v>15.69</v>
      </c>
      <c r="D10" s="23" t="n">
        <f aca="false">C10*(1-B10)</f>
        <v>13.83858</v>
      </c>
      <c r="E10" s="23" t="n">
        <f aca="false">A10*C10</f>
        <v>78.45</v>
      </c>
      <c r="F10" s="23" t="n">
        <f aca="false">A10*D10</f>
        <v>69.1929</v>
      </c>
      <c r="G10" s="23" t="n">
        <f aca="false">E10-F10</f>
        <v>9.25709999999999</v>
      </c>
      <c r="H10" s="23" t="n">
        <f aca="false">C10-D10</f>
        <v>1.85142</v>
      </c>
      <c r="I10" s="31" t="s">
        <v>14</v>
      </c>
      <c r="K10" s="21" t="s">
        <v>17</v>
      </c>
      <c r="L10" s="23" t="n">
        <f aca="false">F20</f>
        <v>5507.19</v>
      </c>
    </row>
    <row r="11" customFormat="false" ht="15" hidden="false" customHeight="true" outlineLevel="0" collapsed="false">
      <c r="A11" s="29" t="n">
        <v>20</v>
      </c>
      <c r="B11" s="30" t="n">
        <v>0.27</v>
      </c>
      <c r="C11" s="23" t="n">
        <f aca="false">$B$5</f>
        <v>15.69</v>
      </c>
      <c r="D11" s="23" t="n">
        <f aca="false">C11*(1-B11)</f>
        <v>11.4537</v>
      </c>
      <c r="E11" s="23" t="n">
        <f aca="false">A11*C11</f>
        <v>313.8</v>
      </c>
      <c r="F11" s="23" t="n">
        <f aca="false">A11*D11</f>
        <v>229.074</v>
      </c>
      <c r="G11" s="23" t="n">
        <f aca="false">E11-F11</f>
        <v>84.726</v>
      </c>
      <c r="H11" s="23" t="n">
        <f aca="false">C11-D11</f>
        <v>4.2363</v>
      </c>
      <c r="I11" s="31" t="s">
        <v>14</v>
      </c>
      <c r="K11" s="21" t="s">
        <v>18</v>
      </c>
      <c r="L11" s="23" t="n">
        <f aca="false">G20</f>
        <v>10182.81</v>
      </c>
    </row>
    <row r="12" customFormat="false" ht="15" hidden="false" customHeight="true" outlineLevel="0" collapsed="false">
      <c r="A12" s="29" t="n">
        <v>25</v>
      </c>
      <c r="B12" s="30" t="n">
        <v>0.289</v>
      </c>
      <c r="C12" s="23" t="n">
        <f aca="false">$B$5</f>
        <v>15.69</v>
      </c>
      <c r="D12" s="23" t="n">
        <f aca="false">C12*(1-B12)</f>
        <v>11.15559</v>
      </c>
      <c r="E12" s="23" t="n">
        <f aca="false">A12*C12</f>
        <v>392.25</v>
      </c>
      <c r="F12" s="23" t="n">
        <f aca="false">A12*D12</f>
        <v>278.88975</v>
      </c>
      <c r="G12" s="23" t="n">
        <f aca="false">E12-F12</f>
        <v>113.36025</v>
      </c>
      <c r="H12" s="23" t="n">
        <f aca="false">C12-D12</f>
        <v>4.53441</v>
      </c>
      <c r="I12" s="31" t="s">
        <v>14</v>
      </c>
    </row>
    <row r="13" customFormat="false" ht="15" hidden="false" customHeight="true" outlineLevel="0" collapsed="false">
      <c r="A13" s="29" t="n">
        <v>50</v>
      </c>
      <c r="B13" s="30" t="n">
        <v>0.361</v>
      </c>
      <c r="C13" s="23" t="n">
        <f aca="false">$B$5</f>
        <v>15.69</v>
      </c>
      <c r="D13" s="23" t="n">
        <f aca="false">C13*(1-B13)</f>
        <v>10.02591</v>
      </c>
      <c r="E13" s="23" t="n">
        <f aca="false">A13*C13</f>
        <v>784.5</v>
      </c>
      <c r="F13" s="23" t="n">
        <f aca="false">A13*D13</f>
        <v>501.2955</v>
      </c>
      <c r="G13" s="23" t="n">
        <f aca="false">E13-F13</f>
        <v>283.2045</v>
      </c>
      <c r="H13" s="23" t="n">
        <f aca="false">C13-D13</f>
        <v>5.66409</v>
      </c>
      <c r="I13" s="31" t="s">
        <v>14</v>
      </c>
    </row>
    <row r="14" customFormat="false" ht="15" hidden="false" customHeight="true" outlineLevel="0" collapsed="false">
      <c r="A14" s="29" t="n">
        <v>75</v>
      </c>
      <c r="B14" s="30" t="n">
        <v>0.393</v>
      </c>
      <c r="C14" s="23" t="n">
        <f aca="false">$B$5</f>
        <v>15.69</v>
      </c>
      <c r="D14" s="23" t="n">
        <f aca="false">C14*(1-B14)</f>
        <v>9.52383</v>
      </c>
      <c r="E14" s="23" t="n">
        <f aca="false">A14*C14</f>
        <v>1176.75</v>
      </c>
      <c r="F14" s="23" t="n">
        <f aca="false">A14*D14</f>
        <v>714.28725</v>
      </c>
      <c r="G14" s="23" t="n">
        <f aca="false">E14-F14</f>
        <v>462.46275</v>
      </c>
      <c r="H14" s="23" t="n">
        <f aca="false">C14-D14</f>
        <v>6.16617</v>
      </c>
      <c r="I14" s="31" t="s">
        <v>14</v>
      </c>
    </row>
    <row r="15" customFormat="false" ht="15" hidden="false" customHeight="true" outlineLevel="0" collapsed="false">
      <c r="A15" s="29" t="n">
        <v>100</v>
      </c>
      <c r="B15" s="30" t="n">
        <v>0.419</v>
      </c>
      <c r="C15" s="23" t="n">
        <f aca="false">$B$5</f>
        <v>15.69</v>
      </c>
      <c r="D15" s="23" t="n">
        <f aca="false">C15*(1-B15)</f>
        <v>9.11589</v>
      </c>
      <c r="E15" s="23" t="n">
        <f aca="false">A15*C15</f>
        <v>1569</v>
      </c>
      <c r="F15" s="23" t="n">
        <f aca="false">A15*D15</f>
        <v>911.589</v>
      </c>
      <c r="G15" s="23" t="n">
        <f aca="false">E15-F15</f>
        <v>657.411</v>
      </c>
      <c r="H15" s="23" t="n">
        <f aca="false">C15-D15</f>
        <v>6.57411</v>
      </c>
      <c r="I15" s="31" t="s">
        <v>14</v>
      </c>
    </row>
    <row r="16" customFormat="false" ht="15" hidden="false" customHeight="true" outlineLevel="0" collapsed="false">
      <c r="A16" s="29" t="n">
        <v>250</v>
      </c>
      <c r="B16" s="30" t="n">
        <v>0.477</v>
      </c>
      <c r="C16" s="23" t="n">
        <f aca="false">$B$5</f>
        <v>15.69</v>
      </c>
      <c r="D16" s="23" t="n">
        <f aca="false">C16*(1-B16)</f>
        <v>8.20587</v>
      </c>
      <c r="E16" s="23" t="n">
        <f aca="false">A16*C16</f>
        <v>3922.5</v>
      </c>
      <c r="F16" s="23" t="n">
        <f aca="false">A16*D16</f>
        <v>2051.4675</v>
      </c>
      <c r="G16" s="23" t="n">
        <f aca="false">E16-F16</f>
        <v>1871.0325</v>
      </c>
      <c r="H16" s="23" t="n">
        <f aca="false">C16-D16</f>
        <v>7.48413</v>
      </c>
      <c r="I16" s="31" t="s">
        <v>14</v>
      </c>
    </row>
    <row r="17" customFormat="false" ht="15" hidden="false" customHeight="true" outlineLevel="0" collapsed="false">
      <c r="A17" s="29" t="n">
        <v>300</v>
      </c>
      <c r="B17" s="30" t="n">
        <v>0.5</v>
      </c>
      <c r="C17" s="23" t="n">
        <f aca="false">$B$5</f>
        <v>15.69</v>
      </c>
      <c r="D17" s="23" t="n">
        <f aca="false">C17*(1-B17)</f>
        <v>7.845</v>
      </c>
      <c r="E17" s="23" t="n">
        <f aca="false">A17*C17</f>
        <v>4707</v>
      </c>
      <c r="F17" s="23" t="n">
        <f aca="false">A17*D17</f>
        <v>2353.5</v>
      </c>
      <c r="G17" s="23" t="n">
        <f aca="false">E17-F17</f>
        <v>2353.5</v>
      </c>
      <c r="H17" s="23" t="n">
        <f aca="false">C17-D17</f>
        <v>7.845</v>
      </c>
      <c r="I17" s="31" t="s">
        <v>14</v>
      </c>
    </row>
    <row r="18" customFormat="false" ht="15" hidden="false" customHeight="true" outlineLevel="0" collapsed="false">
      <c r="A18" s="29" t="n">
        <v>500</v>
      </c>
      <c r="B18" s="30" t="n">
        <v>0.532</v>
      </c>
      <c r="C18" s="23" t="n">
        <f aca="false">$B$5</f>
        <v>15.69</v>
      </c>
      <c r="D18" s="23" t="n">
        <f aca="false">C18*(1-B18)</f>
        <v>7.34292</v>
      </c>
      <c r="E18" s="23" t="n">
        <f aca="false">A18*C18</f>
        <v>7845</v>
      </c>
      <c r="F18" s="23" t="n">
        <f aca="false">A18*D18</f>
        <v>3671.46</v>
      </c>
      <c r="G18" s="23" t="n">
        <f aca="false">E18-F18</f>
        <v>4173.54</v>
      </c>
      <c r="H18" s="23" t="n">
        <f aca="false">C18-D18</f>
        <v>8.34708</v>
      </c>
      <c r="I18" s="31" t="s">
        <v>14</v>
      </c>
    </row>
    <row r="19" customFormat="false" ht="15" hidden="false" customHeight="true" outlineLevel="0" collapsed="false">
      <c r="A19" s="29" t="n">
        <v>750</v>
      </c>
      <c r="B19" s="30" t="n">
        <v>0.575</v>
      </c>
      <c r="C19" s="23" t="n">
        <f aca="false">$B$5</f>
        <v>15.69</v>
      </c>
      <c r="D19" s="23" t="n">
        <f aca="false">C19*(1-B19)</f>
        <v>6.66825</v>
      </c>
      <c r="E19" s="23" t="n">
        <f aca="false">A19*C19</f>
        <v>11767.5</v>
      </c>
      <c r="F19" s="23" t="n">
        <f aca="false">A19*D19</f>
        <v>5001.1875</v>
      </c>
      <c r="G19" s="23" t="n">
        <f aca="false">E19-F19</f>
        <v>6766.3125</v>
      </c>
      <c r="H19" s="23" t="n">
        <f aca="false">C19-D19</f>
        <v>9.02175</v>
      </c>
      <c r="I19" s="31" t="s">
        <v>14</v>
      </c>
    </row>
    <row r="20" customFormat="false" ht="15" hidden="false" customHeight="true" outlineLevel="0" collapsed="false">
      <c r="A20" s="29" t="n">
        <v>1000</v>
      </c>
      <c r="B20" s="30" t="n">
        <v>0.649</v>
      </c>
      <c r="C20" s="23" t="n">
        <f aca="false">$B$5</f>
        <v>15.69</v>
      </c>
      <c r="D20" s="23" t="n">
        <f aca="false">C20*(1-B20)</f>
        <v>5.50719</v>
      </c>
      <c r="E20" s="23" t="n">
        <f aca="false">A20*C20</f>
        <v>15690</v>
      </c>
      <c r="F20" s="23" t="n">
        <f aca="false">A20*D20</f>
        <v>5507.19</v>
      </c>
      <c r="G20" s="23" t="n">
        <f aca="false">E20-F20</f>
        <v>10182.81</v>
      </c>
      <c r="H20" s="23" t="n">
        <f aca="false">C20-D20</f>
        <v>10.18281</v>
      </c>
      <c r="I20" s="31" t="s">
        <v>19</v>
      </c>
    </row>
    <row r="24" customFormat="false" ht="21.75" hidden="false" customHeight="true" outlineLevel="0" collapsed="false">
      <c r="A24" s="16" t="s">
        <v>20</v>
      </c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true" outlineLevel="0" collapsed="false">
      <c r="A25" s="17" t="s">
        <v>21</v>
      </c>
      <c r="B25" s="17"/>
      <c r="C25" s="17"/>
      <c r="D25" s="17"/>
      <c r="E25" s="17"/>
      <c r="F25" s="17"/>
      <c r="G25" s="17"/>
      <c r="H25" s="17"/>
      <c r="I25" s="17"/>
    </row>
    <row r="27" customFormat="false" ht="15" hidden="false" customHeight="true" outlineLevel="0" collapsed="false">
      <c r="A27" s="18" t="s">
        <v>22</v>
      </c>
      <c r="B27" s="18" t="s">
        <v>23</v>
      </c>
      <c r="C27" s="18" t="s">
        <v>24</v>
      </c>
    </row>
    <row r="28" customFormat="false" ht="15" hidden="false" customHeight="true" outlineLevel="0" collapsed="false">
      <c r="A28" s="19" t="s">
        <v>25</v>
      </c>
      <c r="B28" s="20" t="n">
        <v>0.51</v>
      </c>
      <c r="C28" s="19" t="s">
        <v>26</v>
      </c>
    </row>
    <row r="29" customFormat="false" ht="15" hidden="false" customHeight="true" outlineLevel="0" collapsed="false">
      <c r="A29" s="19" t="s">
        <v>27</v>
      </c>
      <c r="B29" s="20" t="n">
        <v>0.15</v>
      </c>
      <c r="C29" s="19" t="s">
        <v>28</v>
      </c>
    </row>
    <row r="30" customFormat="false" ht="15" hidden="false" customHeight="true" outlineLevel="0" collapsed="false">
      <c r="A30" s="19" t="s">
        <v>29</v>
      </c>
      <c r="B30" s="20" t="n">
        <v>0</v>
      </c>
      <c r="C30" s="19" t="s">
        <v>30</v>
      </c>
    </row>
    <row r="31" customFormat="false" ht="15" hidden="false" customHeight="true" outlineLevel="0" collapsed="false">
      <c r="A31" s="19" t="s">
        <v>31</v>
      </c>
      <c r="B31" s="20" t="n">
        <v>0.15</v>
      </c>
      <c r="C31" s="19" t="s">
        <v>32</v>
      </c>
    </row>
    <row r="32" customFormat="false" ht="15" hidden="false" customHeight="true" outlineLevel="0" collapsed="false">
      <c r="A32" s="19" t="s">
        <v>33</v>
      </c>
      <c r="B32" s="20" t="n">
        <v>5</v>
      </c>
      <c r="C32" s="19" t="s">
        <v>34</v>
      </c>
    </row>
    <row r="33" customFormat="false" ht="15" hidden="false" customHeight="true" outlineLevel="0" collapsed="false">
      <c r="A33" s="19"/>
      <c r="B33" s="20"/>
      <c r="C33" s="19"/>
    </row>
    <row r="34" customFormat="false" ht="15" hidden="false" customHeight="true" outlineLevel="0" collapsed="false">
      <c r="A34" s="19"/>
      <c r="B34" s="20"/>
      <c r="C34" s="19"/>
    </row>
    <row r="37" customFormat="false" ht="21.75" hidden="false" customHeight="true" outlineLevel="0" collapsed="false">
      <c r="A37" s="16" t="s">
        <v>35</v>
      </c>
      <c r="B37" s="16"/>
      <c r="C37" s="16"/>
      <c r="D37" s="16"/>
      <c r="E37" s="16"/>
      <c r="F37" s="16"/>
      <c r="G37" s="16"/>
      <c r="H37" s="16"/>
      <c r="I37" s="16"/>
    </row>
    <row r="39" customFormat="false" ht="15" hidden="false" customHeight="true" outlineLevel="0" collapsed="false">
      <c r="A39" s="18" t="s">
        <v>36</v>
      </c>
      <c r="B39" s="18" t="s">
        <v>37</v>
      </c>
    </row>
    <row r="40" customFormat="false" ht="15" hidden="false" customHeight="true" outlineLevel="0" collapsed="false">
      <c r="A40" s="19" t="s">
        <v>38</v>
      </c>
      <c r="B40" s="20" t="n">
        <v>0</v>
      </c>
    </row>
    <row r="41" customFormat="false" ht="15" hidden="false" customHeight="true" outlineLevel="0" collapsed="false">
      <c r="A41" s="19" t="s">
        <v>39</v>
      </c>
      <c r="B41" s="20" t="n">
        <v>0.71</v>
      </c>
    </row>
    <row r="42" customFormat="false" ht="15" hidden="false" customHeight="true" outlineLevel="0" collapsed="false">
      <c r="A42" s="19" t="s">
        <v>40</v>
      </c>
      <c r="B42" s="20" t="n">
        <v>1.15</v>
      </c>
    </row>
    <row r="45" customFormat="false" ht="21.75" hidden="false" customHeight="true" outlineLevel="0" collapsed="false">
      <c r="A45" s="16" t="s">
        <v>41</v>
      </c>
      <c r="B45" s="16"/>
      <c r="C45" s="16"/>
      <c r="D45" s="16"/>
      <c r="E45" s="16"/>
      <c r="F45" s="16"/>
      <c r="G45" s="16"/>
      <c r="H45" s="16"/>
      <c r="I45" s="16"/>
    </row>
    <row r="47" customFormat="false" ht="15" hidden="false" customHeight="true" outlineLevel="0" collapsed="false">
      <c r="A47" s="18" t="s">
        <v>42</v>
      </c>
      <c r="B47" s="18" t="s">
        <v>37</v>
      </c>
    </row>
    <row r="48" customFormat="false" ht="15" hidden="false" customHeight="true" outlineLevel="0" collapsed="false">
      <c r="A48" s="19" t="s">
        <v>38</v>
      </c>
      <c r="B48" s="20" t="n">
        <v>0</v>
      </c>
    </row>
    <row r="49" customFormat="false" ht="15" hidden="false" customHeight="true" outlineLevel="0" collapsed="false">
      <c r="A49" s="19" t="s">
        <v>43</v>
      </c>
      <c r="B49" s="20" t="n">
        <v>0.14</v>
      </c>
    </row>
    <row r="50" customFormat="false" ht="15" hidden="false" customHeight="true" outlineLevel="0" collapsed="false">
      <c r="A50" s="19" t="s">
        <v>44</v>
      </c>
      <c r="B50" s="20" t="n">
        <v>0.77</v>
      </c>
    </row>
    <row r="53" customFormat="false" ht="21.75" hidden="false" customHeight="true" outlineLevel="0" collapsed="false">
      <c r="A53" s="16" t="s">
        <v>45</v>
      </c>
      <c r="B53" s="16"/>
      <c r="C53" s="16"/>
      <c r="D53" s="16"/>
      <c r="E53" s="16"/>
      <c r="F53" s="16"/>
      <c r="G53" s="16"/>
      <c r="H53" s="16"/>
      <c r="I53" s="16"/>
    </row>
    <row r="55" customFormat="false" ht="15" hidden="false" customHeight="true" outlineLevel="0" collapsed="false">
      <c r="A55" s="18" t="s">
        <v>46</v>
      </c>
      <c r="B55" s="18" t="s">
        <v>37</v>
      </c>
    </row>
    <row r="56" customFormat="false" ht="15" hidden="false" customHeight="true" outlineLevel="0" collapsed="false">
      <c r="A56" s="19" t="s">
        <v>38</v>
      </c>
      <c r="B56" s="20" t="n">
        <v>0</v>
      </c>
    </row>
    <row r="57" customFormat="false" ht="15" hidden="false" customHeight="true" outlineLevel="0" collapsed="false">
      <c r="A57" s="19" t="s">
        <v>47</v>
      </c>
      <c r="B57" s="20" t="n">
        <v>4.33</v>
      </c>
    </row>
    <row r="58" customFormat="false" ht="15" hidden="false" customHeight="true" outlineLevel="0" collapsed="false">
      <c r="A58" s="19" t="s">
        <v>48</v>
      </c>
      <c r="B58" s="20" t="n">
        <v>3.33</v>
      </c>
    </row>
    <row r="59" customFormat="false" ht="15" hidden="false" customHeight="true" outlineLevel="0" collapsed="false">
      <c r="A59" s="19" t="s">
        <v>49</v>
      </c>
      <c r="B59" s="20" t="n">
        <v>3.67</v>
      </c>
    </row>
    <row r="60" customFormat="false" ht="15" hidden="false" customHeight="true" outlineLevel="0" collapsed="false">
      <c r="A60" s="19" t="s">
        <v>50</v>
      </c>
      <c r="B60" s="20" t="n">
        <v>3.14</v>
      </c>
    </row>
    <row r="61" customFormat="false" ht="15" hidden="false" customHeight="true" outlineLevel="0" collapsed="false">
      <c r="A61" s="19" t="s">
        <v>51</v>
      </c>
      <c r="B61" s="20" t="n">
        <v>3.67</v>
      </c>
    </row>
    <row r="64" customFormat="false" ht="21.75" hidden="false" customHeight="true" outlineLevel="0" collapsed="false">
      <c r="A64" s="16" t="s">
        <v>52</v>
      </c>
      <c r="B64" s="16"/>
      <c r="C64" s="16"/>
      <c r="D64" s="16"/>
      <c r="E64" s="16"/>
      <c r="F64" s="16"/>
      <c r="G64" s="16"/>
      <c r="H64" s="16"/>
      <c r="I64" s="16"/>
    </row>
    <row r="65" customFormat="false" ht="15" hidden="false" customHeight="true" outlineLevel="0" collapsed="false">
      <c r="A65" s="17" t="s">
        <v>53</v>
      </c>
      <c r="B65" s="17"/>
      <c r="C65" s="17"/>
      <c r="D65" s="17"/>
      <c r="E65" s="17"/>
      <c r="F65" s="17"/>
      <c r="G65" s="17"/>
      <c r="H65" s="17"/>
      <c r="I65" s="17"/>
    </row>
    <row r="67" customFormat="false" ht="15" hidden="false" customHeight="true" outlineLevel="0" collapsed="false">
      <c r="A67" s="21" t="s">
        <v>54</v>
      </c>
      <c r="B67" s="19"/>
    </row>
    <row r="68" customFormat="false" ht="15" hidden="false" customHeight="true" outlineLevel="0" collapsed="false">
      <c r="A68" s="21" t="s">
        <v>55</v>
      </c>
      <c r="B68" s="19" t="s">
        <v>38</v>
      </c>
    </row>
    <row r="69" customFormat="false" ht="15" hidden="false" customHeight="true" outlineLevel="0" collapsed="false">
      <c r="A69" s="21" t="s">
        <v>56</v>
      </c>
      <c r="B69" s="19" t="s">
        <v>38</v>
      </c>
    </row>
    <row r="70" customFormat="false" ht="15" hidden="false" customHeight="true" outlineLevel="0" collapsed="false">
      <c r="A70" s="21" t="s">
        <v>57</v>
      </c>
      <c r="B70" s="19" t="s">
        <v>38</v>
      </c>
    </row>
    <row r="71" customFormat="false" ht="15" hidden="false" customHeight="true" outlineLevel="0" collapsed="false">
      <c r="A71" s="21" t="s">
        <v>58</v>
      </c>
      <c r="B71" s="22" t="n">
        <v>100</v>
      </c>
    </row>
    <row r="73" customFormat="false" ht="15" hidden="false" customHeight="true" outlineLevel="0" collapsed="false">
      <c r="A73" s="21" t="s">
        <v>59</v>
      </c>
      <c r="B73" s="23" t="n">
        <f aca="false">$B$5</f>
        <v>15.69</v>
      </c>
    </row>
    <row r="74" customFormat="false" ht="15" hidden="false" customHeight="true" outlineLevel="0" collapsed="false">
      <c r="A74" s="21" t="s">
        <v>60</v>
      </c>
      <c r="B74" s="23" t="n">
        <f aca="false">IFERROR(VLOOKUP(B67,A28:B34,2,FALSE()),0)</f>
        <v>0</v>
      </c>
    </row>
    <row r="75" customFormat="false" ht="15" hidden="false" customHeight="true" outlineLevel="0" collapsed="false">
      <c r="A75" s="21" t="s">
        <v>61</v>
      </c>
      <c r="B75" s="23" t="n">
        <f aca="false">IFERROR(VLOOKUP(B68,A40:B42,2,FALSE()),0)</f>
        <v>0</v>
      </c>
    </row>
    <row r="76" customFormat="false" ht="15" hidden="false" customHeight="true" outlineLevel="0" collapsed="false">
      <c r="A76" s="21" t="s">
        <v>62</v>
      </c>
      <c r="B76" s="23" t="n">
        <f aca="false">IFERROR(VLOOKUP(B69,A48:B50,2,FALSE()),0)</f>
        <v>0</v>
      </c>
    </row>
    <row r="77" customFormat="false" ht="15" hidden="false" customHeight="true" outlineLevel="0" collapsed="false">
      <c r="A77" s="21" t="s">
        <v>63</v>
      </c>
      <c r="B77" s="23" t="n">
        <f aca="false">IFERROR(VLOOKUP(B70,A56:B61,2,FALSE()),0)</f>
        <v>0</v>
      </c>
    </row>
    <row r="78" customFormat="false" ht="15" hidden="false" customHeight="true" outlineLevel="0" collapsed="false">
      <c r="A78" s="21" t="s">
        <v>64</v>
      </c>
      <c r="B78" s="23" t="n">
        <f aca="false">$B$5+IFERROR(VLOOKUP(B67,A28:B34,2,FALSE()),0)+IFERROR(VLOOKUP(B68,A40:B42,2,FALSE()),0)+IFERROR(VLOOKUP(B69,A48:B50,2,FALSE()),0)+IFERROR(VLOOKUP(B70,A56:B61,2,FALSE()),0)</f>
        <v>15.69</v>
      </c>
    </row>
    <row r="79" customFormat="false" ht="15" hidden="false" customHeight="true" outlineLevel="0" collapsed="false">
      <c r="A79" s="21" t="s">
        <v>65</v>
      </c>
      <c r="B79" s="24" t="n">
        <f aca="false">IFERROR(LOOKUP(B71,A8:A20,B8:B20),0)</f>
        <v>0.419</v>
      </c>
    </row>
    <row r="80" customFormat="false" ht="15" hidden="false" customHeight="true" outlineLevel="0" collapsed="false">
      <c r="A80" s="21" t="s">
        <v>66</v>
      </c>
      <c r="B80" s="25" t="n">
        <f aca="false">($B$5+IFERROR(VLOOKUP(B67,A28:B34,2,FALSE()),0)+IFERROR(VLOOKUP(B68,A40:B42,2,FALSE()),0)+IFERROR(VLOOKUP(B69,A48:B50,2,FALSE()),0)+IFERROR(VLOOKUP(B70,A56:B61,2,FALSE()),0))*(1-IFERROR(LOOKUP(B71,A8:A20,B8:B20),0))</f>
        <v>9.11589</v>
      </c>
    </row>
    <row r="81" customFormat="false" ht="15" hidden="false" customHeight="true" outlineLevel="0" collapsed="false">
      <c r="A81" s="21" t="s">
        <v>67</v>
      </c>
      <c r="B81" s="25" t="n">
        <f aca="false">B71*($B$5+IFERROR(VLOOKUP(B67,A28:B34,2,FALSE()),0)+IFERROR(VLOOKUP(B68,A40:B42,2,FALSE()),0)+IFERROR(VLOOKUP(B69,A48:B50,2,FALSE()),0)+IFERROR(VLOOKUP(B70,A56:B61,2,FALSE()),0))*(1-IFERROR(LOOKUP(B71,A8:A20,B8:B20),0))</f>
        <v>911.589</v>
      </c>
    </row>
    <row r="84" customFormat="false" ht="21.75" hidden="false" customHeight="true" outlineLevel="0" collapsed="false">
      <c r="A84" s="16" t="s">
        <v>68</v>
      </c>
      <c r="B84" s="16"/>
      <c r="C84" s="16"/>
      <c r="D84" s="16"/>
      <c r="E84" s="16"/>
      <c r="F84" s="16"/>
      <c r="G84" s="16"/>
      <c r="H84" s="16"/>
      <c r="I84" s="16"/>
    </row>
    <row r="86" customFormat="false" ht="15" hidden="false" customHeight="true" outlineLevel="0" collapsed="false">
      <c r="A86" s="26" t="s">
        <v>69</v>
      </c>
      <c r="B86" s="26"/>
      <c r="D86" s="26" t="s">
        <v>70</v>
      </c>
      <c r="E86" s="26"/>
      <c r="G86" s="26" t="s">
        <v>71</v>
      </c>
      <c r="H86" s="26"/>
    </row>
    <row r="87" customFormat="false" ht="21.75" hidden="false" customHeight="true" outlineLevel="0" collapsed="false">
      <c r="A87" s="17" t="s">
        <v>72</v>
      </c>
      <c r="B87" s="17"/>
      <c r="D87" s="17" t="s">
        <v>73</v>
      </c>
      <c r="E87" s="17"/>
      <c r="G87" s="17" t="s">
        <v>73</v>
      </c>
      <c r="H87" s="17"/>
    </row>
    <row r="89" customFormat="false" ht="15" hidden="false" customHeight="true" outlineLevel="0" collapsed="false">
      <c r="A89" s="18" t="s">
        <v>74</v>
      </c>
      <c r="B89" s="18" t="s">
        <v>23</v>
      </c>
      <c r="D89" s="18" t="s">
        <v>74</v>
      </c>
      <c r="E89" s="18" t="s">
        <v>23</v>
      </c>
      <c r="G89" s="18" t="s">
        <v>74</v>
      </c>
      <c r="H89" s="18" t="s">
        <v>23</v>
      </c>
    </row>
    <row r="90" customFormat="false" ht="15" hidden="false" customHeight="true" outlineLevel="0" collapsed="false">
      <c r="A90" s="22" t="n">
        <v>30</v>
      </c>
      <c r="B90" s="20" t="n">
        <v>0</v>
      </c>
      <c r="D90" s="22" t="n">
        <v>30</v>
      </c>
      <c r="E90" s="20" t="n">
        <v>0</v>
      </c>
      <c r="G90" s="22" t="n">
        <v>30</v>
      </c>
      <c r="H90" s="20" t="n">
        <v>0</v>
      </c>
    </row>
    <row r="91" customFormat="false" ht="15" hidden="false" customHeight="true" outlineLevel="0" collapsed="false">
      <c r="A91" s="22" t="n">
        <v>32</v>
      </c>
      <c r="B91" s="20" t="n">
        <v>0</v>
      </c>
      <c r="D91" s="22" t="n">
        <v>32</v>
      </c>
      <c r="E91" s="20" t="n">
        <v>0</v>
      </c>
      <c r="G91" s="22" t="n">
        <v>32</v>
      </c>
      <c r="H91" s="20" t="n">
        <v>0</v>
      </c>
    </row>
    <row r="92" customFormat="false" ht="15" hidden="false" customHeight="true" outlineLevel="0" collapsed="false">
      <c r="A92" s="22" t="n">
        <v>34</v>
      </c>
      <c r="B92" s="20" t="n">
        <v>0.17</v>
      </c>
      <c r="D92" s="22" t="n">
        <v>34</v>
      </c>
      <c r="E92" s="20" t="n">
        <v>0.18</v>
      </c>
      <c r="G92" s="22" t="n">
        <v>34</v>
      </c>
      <c r="H92" s="20" t="n">
        <v>0.18</v>
      </c>
    </row>
    <row r="93" customFormat="false" ht="15" hidden="false" customHeight="true" outlineLevel="0" collapsed="false">
      <c r="A93" s="22" t="n">
        <v>36</v>
      </c>
      <c r="B93" s="20" t="n">
        <v>0.17</v>
      </c>
      <c r="D93" s="22" t="n">
        <v>36</v>
      </c>
      <c r="E93" s="20" t="n">
        <v>0.18</v>
      </c>
      <c r="G93" s="22" t="n">
        <v>36</v>
      </c>
      <c r="H93" s="20" t="n">
        <v>0.18</v>
      </c>
    </row>
    <row r="94" customFormat="false" ht="15" hidden="false" customHeight="true" outlineLevel="0" collapsed="false">
      <c r="A94" s="22" t="n">
        <v>38</v>
      </c>
      <c r="B94" s="20" t="n">
        <v>0.34</v>
      </c>
      <c r="D94" s="22" t="n">
        <v>38</v>
      </c>
      <c r="E94" s="20" t="n">
        <v>0.36</v>
      </c>
      <c r="G94" s="22" t="n">
        <v>38</v>
      </c>
      <c r="H94" s="20" t="n">
        <v>0.36</v>
      </c>
    </row>
    <row r="95" customFormat="false" ht="15" hidden="false" customHeight="true" outlineLevel="0" collapsed="false">
      <c r="A95" s="22" t="n">
        <v>40</v>
      </c>
      <c r="B95" s="20" t="n">
        <v>0.34</v>
      </c>
      <c r="D95" s="22" t="n">
        <v>40</v>
      </c>
      <c r="E95" s="20" t="n">
        <v>0.36</v>
      </c>
      <c r="G95" s="22" t="n">
        <v>40</v>
      </c>
      <c r="H95" s="20" t="n">
        <v>0.36</v>
      </c>
    </row>
    <row r="96" customFormat="false" ht="15" hidden="false" customHeight="true" outlineLevel="0" collapsed="false">
      <c r="A96" s="22" t="n">
        <v>42</v>
      </c>
      <c r="B96" s="20" t="n">
        <v>0.51</v>
      </c>
      <c r="D96" s="22" t="n">
        <v>42</v>
      </c>
      <c r="E96" s="20" t="n">
        <v>0.54</v>
      </c>
      <c r="G96" s="22" t="n">
        <v>42</v>
      </c>
      <c r="H96" s="20" t="n">
        <v>0.54</v>
      </c>
    </row>
    <row r="97" customFormat="false" ht="15" hidden="false" customHeight="true" outlineLevel="0" collapsed="false">
      <c r="A97" s="22" t="n">
        <v>44</v>
      </c>
      <c r="B97" s="20" t="n">
        <v>0.51</v>
      </c>
      <c r="D97" s="22" t="n">
        <v>44</v>
      </c>
      <c r="E97" s="20" t="n">
        <v>0.54</v>
      </c>
      <c r="G97" s="22" t="n">
        <v>44</v>
      </c>
      <c r="H97" s="20" t="n">
        <v>0.54</v>
      </c>
    </row>
    <row r="98" customFormat="false" ht="15" hidden="false" customHeight="true" outlineLevel="0" collapsed="false">
      <c r="A98" s="22" t="n">
        <v>46</v>
      </c>
      <c r="B98" s="20" t="n">
        <v>0.68</v>
      </c>
      <c r="D98" s="22" t="n">
        <v>46</v>
      </c>
      <c r="E98" s="20" t="n">
        <v>0.72</v>
      </c>
      <c r="G98" s="22" t="n">
        <v>46</v>
      </c>
      <c r="H98" s="20" t="n">
        <v>0.72</v>
      </c>
    </row>
    <row r="99" customFormat="false" ht="15" hidden="false" customHeight="true" outlineLevel="0" collapsed="false">
      <c r="A99" s="22" t="n">
        <v>48</v>
      </c>
      <c r="B99" s="20" t="n">
        <v>0.68</v>
      </c>
      <c r="D99" s="22" t="n">
        <v>48</v>
      </c>
      <c r="E99" s="20" t="n">
        <v>0.72</v>
      </c>
      <c r="G99" s="22" t="n">
        <v>48</v>
      </c>
      <c r="H99" s="20" t="n">
        <v>0.72</v>
      </c>
    </row>
    <row r="100" customFormat="false" ht="15" hidden="false" customHeight="true" outlineLevel="0" collapsed="false">
      <c r="A100" s="22" t="n">
        <v>50</v>
      </c>
      <c r="B100" s="20" t="n">
        <v>0.85</v>
      </c>
      <c r="D100" s="22" t="n">
        <v>50</v>
      </c>
      <c r="E100" s="20" t="n">
        <v>0.9</v>
      </c>
      <c r="G100" s="22" t="n">
        <v>50</v>
      </c>
      <c r="H100" s="20" t="n">
        <v>0.9</v>
      </c>
    </row>
    <row r="101" customFormat="false" ht="15" hidden="false" customHeight="true" outlineLevel="0" collapsed="false">
      <c r="A101" s="22" t="n">
        <v>52</v>
      </c>
      <c r="B101" s="20" t="n">
        <v>0.85</v>
      </c>
      <c r="D101" s="22" t="n">
        <v>52</v>
      </c>
      <c r="E101" s="20" t="n">
        <v>0.9</v>
      </c>
      <c r="G101" s="22" t="n">
        <v>52</v>
      </c>
      <c r="H101" s="20" t="n">
        <v>0.9</v>
      </c>
    </row>
    <row r="102" customFormat="false" ht="15" hidden="false" customHeight="false" outlineLevel="0" collapsed="false">
      <c r="A102" s="22" t="n">
        <v>54</v>
      </c>
      <c r="B102" s="20" t="n">
        <v>1.02</v>
      </c>
      <c r="D102" s="22" t="n">
        <v>54</v>
      </c>
      <c r="E102" s="20" t="n">
        <v>1.08</v>
      </c>
      <c r="G102" s="22" t="n">
        <v>54</v>
      </c>
      <c r="H102" s="20" t="n">
        <v>1.08</v>
      </c>
    </row>
    <row r="103" customFormat="false" ht="15" hidden="false" customHeight="false" outlineLevel="0" collapsed="false">
      <c r="A103" s="22" t="n">
        <v>56</v>
      </c>
      <c r="B103" s="20" t="n">
        <v>1.02</v>
      </c>
      <c r="D103" s="22" t="n">
        <v>56</v>
      </c>
      <c r="E103" s="20" t="n">
        <v>1.08</v>
      </c>
      <c r="G103" s="22" t="n">
        <v>56</v>
      </c>
      <c r="H103" s="20" t="n">
        <v>1.08</v>
      </c>
    </row>
    <row r="104" customFormat="false" ht="21.75" hidden="false" customHeight="true" outlineLevel="0" collapsed="false">
      <c r="A104" s="22" t="n">
        <v>58</v>
      </c>
      <c r="B104" s="20" t="n">
        <v>1.19</v>
      </c>
      <c r="D104" s="22" t="n">
        <v>58</v>
      </c>
      <c r="E104" s="20" t="n">
        <v>1.26</v>
      </c>
      <c r="G104" s="22" t="n">
        <v>58</v>
      </c>
      <c r="H104" s="20" t="n">
        <v>1.26</v>
      </c>
    </row>
    <row r="105" customFormat="false" ht="15" hidden="false" customHeight="false" outlineLevel="0" collapsed="false">
      <c r="A105" s="22" t="n">
        <v>60</v>
      </c>
      <c r="B105" s="20" t="n">
        <v>1.19</v>
      </c>
      <c r="D105" s="22" t="n">
        <v>60</v>
      </c>
      <c r="E105" s="20" t="n">
        <v>1.26</v>
      </c>
      <c r="G105" s="22" t="n">
        <v>60</v>
      </c>
      <c r="H105" s="20" t="n">
        <v>1.26</v>
      </c>
    </row>
    <row r="106" customFormat="false" ht="15" hidden="false" customHeight="true" outlineLevel="0" collapsed="false">
      <c r="A106" s="22" t="n">
        <v>62</v>
      </c>
      <c r="B106" s="20" t="n">
        <v>1.36</v>
      </c>
      <c r="D106" s="22" t="n">
        <v>62</v>
      </c>
      <c r="E106" s="20" t="n">
        <v>1.44</v>
      </c>
      <c r="G106" s="22" t="n">
        <v>62</v>
      </c>
      <c r="H106" s="20" t="n">
        <v>1.44</v>
      </c>
    </row>
    <row r="107" customFormat="false" ht="21.75" hidden="false" customHeight="true" outlineLevel="0" collapsed="false">
      <c r="A107" s="22" t="n">
        <v>64</v>
      </c>
      <c r="B107" s="20" t="n">
        <v>1.36</v>
      </c>
      <c r="D107" s="22" t="n">
        <v>64</v>
      </c>
      <c r="E107" s="20" t="n">
        <v>1.44</v>
      </c>
      <c r="G107" s="22" t="n">
        <v>64</v>
      </c>
      <c r="H107" s="20" t="n">
        <v>1.44</v>
      </c>
    </row>
    <row r="108" customFormat="false" ht="15" hidden="false" customHeight="false" outlineLevel="0" collapsed="false">
      <c r="A108" s="22" t="n">
        <v>66</v>
      </c>
      <c r="B108" s="20" t="n">
        <v>1.53</v>
      </c>
      <c r="D108" s="22" t="n">
        <v>66</v>
      </c>
      <c r="E108" s="20" t="n">
        <v>1.62</v>
      </c>
      <c r="G108" s="22" t="n">
        <v>66</v>
      </c>
      <c r="H108" s="20" t="n">
        <v>1.62</v>
      </c>
    </row>
    <row r="109" customFormat="false" ht="15" hidden="false" customHeight="true" outlineLevel="0" collapsed="false">
      <c r="A109" s="22" t="n">
        <v>68</v>
      </c>
      <c r="B109" s="20" t="n">
        <v>1.53</v>
      </c>
      <c r="D109" s="22" t="n">
        <v>68</v>
      </c>
      <c r="E109" s="20" t="n">
        <v>1.62</v>
      </c>
      <c r="G109" s="22" t="n">
        <v>68</v>
      </c>
      <c r="H109" s="20" t="n">
        <v>1.62</v>
      </c>
    </row>
    <row r="110" customFormat="false" ht="15" hidden="false" customHeight="true" outlineLevel="0" collapsed="false">
      <c r="A110" s="22" t="n">
        <v>70</v>
      </c>
      <c r="B110" s="20" t="n">
        <v>1.7</v>
      </c>
      <c r="D110" s="22" t="n">
        <v>70</v>
      </c>
      <c r="E110" s="20" t="n">
        <v>1.8</v>
      </c>
      <c r="G110" s="22" t="n">
        <v>70</v>
      </c>
      <c r="H110" s="20" t="n">
        <v>1.8</v>
      </c>
    </row>
    <row r="111" customFormat="false" ht="15" hidden="false" customHeight="true" outlineLevel="0" collapsed="false">
      <c r="A111" s="22" t="n">
        <v>72</v>
      </c>
      <c r="B111" s="20" t="n">
        <v>1.7</v>
      </c>
      <c r="D111" s="22" t="n">
        <v>72</v>
      </c>
      <c r="E111" s="20" t="n">
        <v>1.8</v>
      </c>
      <c r="G111" s="22" t="n">
        <v>72</v>
      </c>
      <c r="H111" s="20" t="n">
        <v>1.8</v>
      </c>
    </row>
    <row r="112" customFormat="false" ht="15" hidden="false" customHeight="true" outlineLevel="0" collapsed="false">
      <c r="A112" s="22" t="n">
        <v>74</v>
      </c>
      <c r="B112" s="20" t="n">
        <v>1.87</v>
      </c>
      <c r="D112" s="22" t="n">
        <v>74</v>
      </c>
      <c r="E112" s="20" t="n">
        <v>1.98</v>
      </c>
      <c r="G112" s="22" t="n">
        <v>74</v>
      </c>
      <c r="H112" s="20" t="n">
        <v>1.98</v>
      </c>
    </row>
    <row r="113" customFormat="false" ht="15" hidden="false" customHeight="true" outlineLevel="0" collapsed="false">
      <c r="A113" s="22" t="n">
        <v>76</v>
      </c>
      <c r="B113" s="20" t="n">
        <v>1.87</v>
      </c>
      <c r="D113" s="22" t="n">
        <v>76</v>
      </c>
      <c r="E113" s="20" t="n">
        <v>1.98</v>
      </c>
      <c r="G113" s="22" t="n">
        <v>76</v>
      </c>
      <c r="H113" s="20" t="n">
        <v>1.98</v>
      </c>
    </row>
    <row r="114" customFormat="false" ht="15" hidden="false" customHeight="true" outlineLevel="0" collapsed="false">
      <c r="A114" s="22" t="n">
        <v>78</v>
      </c>
      <c r="B114" s="20" t="n">
        <v>2.04</v>
      </c>
      <c r="D114" s="22" t="n">
        <v>78</v>
      </c>
      <c r="E114" s="20" t="n">
        <v>2.16</v>
      </c>
      <c r="G114" s="22" t="n">
        <v>78</v>
      </c>
      <c r="H114" s="20" t="n">
        <v>2.16</v>
      </c>
    </row>
    <row r="115" customFormat="false" ht="15" hidden="false" customHeight="true" outlineLevel="0" collapsed="false">
      <c r="A115" s="22" t="n">
        <v>80</v>
      </c>
      <c r="B115" s="20" t="n">
        <v>2.04</v>
      </c>
      <c r="D115" s="22" t="n">
        <v>80</v>
      </c>
      <c r="E115" s="20" t="n">
        <v>2.16</v>
      </c>
      <c r="G115" s="22" t="n">
        <v>80</v>
      </c>
      <c r="H115" s="20" t="n">
        <v>2.16</v>
      </c>
    </row>
    <row r="116" customFormat="false" ht="15" hidden="false" customHeight="true" outlineLevel="0" collapsed="false">
      <c r="A116" s="22" t="n">
        <v>82</v>
      </c>
      <c r="B116" s="20" t="n">
        <v>2.21</v>
      </c>
      <c r="D116" s="22" t="n">
        <v>82</v>
      </c>
      <c r="E116" s="20" t="n">
        <v>2.34</v>
      </c>
      <c r="G116" s="22" t="n">
        <v>82</v>
      </c>
      <c r="H116" s="20" t="n">
        <v>2.34</v>
      </c>
    </row>
    <row r="117" customFormat="false" ht="15" hidden="false" customHeight="true" outlineLevel="0" collapsed="false">
      <c r="A117" s="22" t="n">
        <v>84</v>
      </c>
      <c r="B117" s="20" t="n">
        <v>2.21</v>
      </c>
      <c r="D117" s="22" t="n">
        <v>84</v>
      </c>
      <c r="E117" s="20" t="n">
        <v>2.34</v>
      </c>
      <c r="G117" s="22" t="n">
        <v>84</v>
      </c>
      <c r="H117" s="20" t="n">
        <v>2.34</v>
      </c>
    </row>
    <row r="118" customFormat="false" ht="15" hidden="false" customHeight="true" outlineLevel="0" collapsed="false">
      <c r="A118" s="22" t="n">
        <v>86</v>
      </c>
      <c r="B118" s="20" t="n">
        <v>2.38</v>
      </c>
      <c r="D118" s="22" t="n">
        <v>86</v>
      </c>
      <c r="E118" s="20" t="n">
        <v>2.52</v>
      </c>
      <c r="G118" s="22" t="n">
        <v>86</v>
      </c>
      <c r="H118" s="20" t="n">
        <v>2.52</v>
      </c>
    </row>
    <row r="119" customFormat="false" ht="15" hidden="false" customHeight="true" outlineLevel="0" collapsed="false">
      <c r="A119" s="22" t="n">
        <v>88</v>
      </c>
      <c r="B119" s="20" t="n">
        <v>2.38</v>
      </c>
      <c r="D119" s="22" t="n">
        <v>88</v>
      </c>
      <c r="E119" s="20" t="n">
        <v>2.52</v>
      </c>
      <c r="G119" s="22" t="n">
        <v>88</v>
      </c>
      <c r="H119" s="20" t="n">
        <v>2.52</v>
      </c>
    </row>
    <row r="120" customFormat="false" ht="15" hidden="false" customHeight="true" outlineLevel="0" collapsed="false">
      <c r="A120" s="22" t="n">
        <v>90</v>
      </c>
      <c r="B120" s="20" t="n">
        <v>2.55</v>
      </c>
      <c r="D120" s="22" t="n">
        <v>90</v>
      </c>
      <c r="E120" s="20" t="n">
        <v>2.7</v>
      </c>
      <c r="G120" s="22" t="n">
        <v>90</v>
      </c>
      <c r="H120" s="20" t="n">
        <v>2.7</v>
      </c>
    </row>
    <row r="121" customFormat="false" ht="15" hidden="false" customHeight="true" outlineLevel="0" collapsed="false">
      <c r="A121" s="22" t="n">
        <v>92</v>
      </c>
      <c r="B121" s="20" t="n">
        <v>2.55</v>
      </c>
      <c r="D121" s="22" t="n">
        <v>92</v>
      </c>
      <c r="E121" s="20" t="n">
        <v>2.7</v>
      </c>
      <c r="G121" s="22" t="n">
        <v>92</v>
      </c>
      <c r="H121" s="20" t="n">
        <v>2.7</v>
      </c>
    </row>
    <row r="122" customFormat="false" ht="15" hidden="false" customHeight="false" outlineLevel="0" collapsed="false">
      <c r="A122" s="22" t="n">
        <v>94</v>
      </c>
      <c r="B122" s="20" t="n">
        <v>2.72</v>
      </c>
      <c r="D122" s="22" t="n">
        <v>94</v>
      </c>
      <c r="E122" s="20" t="n">
        <v>2.88</v>
      </c>
      <c r="G122" s="22" t="n">
        <v>94</v>
      </c>
      <c r="H122" s="20" t="n">
        <v>2.88</v>
      </c>
    </row>
    <row r="123" customFormat="false" ht="15" hidden="false" customHeight="false" outlineLevel="0" collapsed="false">
      <c r="A123" s="22" t="n">
        <v>96</v>
      </c>
      <c r="B123" s="20" t="n">
        <v>2.72</v>
      </c>
      <c r="D123" s="22" t="n">
        <v>96</v>
      </c>
      <c r="E123" s="20" t="n">
        <v>2.88</v>
      </c>
      <c r="G123" s="22" t="n">
        <v>96</v>
      </c>
      <c r="H123" s="20" t="n">
        <v>2.88</v>
      </c>
    </row>
    <row r="124" customFormat="false" ht="15" hidden="false" customHeight="false" outlineLevel="0" collapsed="false">
      <c r="A124" s="22" t="n">
        <v>98</v>
      </c>
      <c r="B124" s="20" t="n">
        <v>2.89</v>
      </c>
      <c r="D124" s="22" t="n">
        <v>98</v>
      </c>
      <c r="E124" s="20" t="n">
        <v>3.06</v>
      </c>
      <c r="G124" s="22" t="n">
        <v>98</v>
      </c>
      <c r="H124" s="20" t="n">
        <v>3.06</v>
      </c>
    </row>
    <row r="125" customFormat="false" ht="15" hidden="false" customHeight="false" outlineLevel="0" collapsed="false">
      <c r="A125" s="22" t="n">
        <v>100</v>
      </c>
      <c r="B125" s="20" t="n">
        <v>2.89</v>
      </c>
      <c r="D125" s="22" t="n">
        <v>100</v>
      </c>
      <c r="E125" s="20" t="n">
        <v>3.06</v>
      </c>
      <c r="G125" s="22" t="n">
        <v>100</v>
      </c>
      <c r="H125" s="20" t="n">
        <v>3.06</v>
      </c>
    </row>
    <row r="126" customFormat="false" ht="15" hidden="false" customHeight="false" outlineLevel="0" collapsed="false">
      <c r="A126" s="22" t="n">
        <v>102</v>
      </c>
      <c r="B126" s="20" t="n">
        <v>3.06</v>
      </c>
      <c r="D126" s="22" t="n">
        <v>102</v>
      </c>
      <c r="E126" s="20" t="n">
        <v>3.24</v>
      </c>
      <c r="G126" s="22" t="n">
        <v>102</v>
      </c>
      <c r="H126" s="20" t="n">
        <v>3.24</v>
      </c>
    </row>
    <row r="127" customFormat="false" ht="15" hidden="false" customHeight="false" outlineLevel="0" collapsed="false">
      <c r="A127" s="22" t="n">
        <v>104</v>
      </c>
      <c r="B127" s="20" t="n">
        <v>3.06</v>
      </c>
      <c r="D127" s="22" t="n">
        <v>104</v>
      </c>
      <c r="E127" s="20" t="n">
        <v>3.24</v>
      </c>
      <c r="G127" s="22" t="n">
        <v>104</v>
      </c>
      <c r="H127" s="20" t="n">
        <v>3.24</v>
      </c>
    </row>
    <row r="128" customFormat="false" ht="15" hidden="false" customHeight="false" outlineLevel="0" collapsed="false">
      <c r="A128" s="22" t="n">
        <v>106</v>
      </c>
      <c r="B128" s="20" t="n">
        <v>3.23</v>
      </c>
      <c r="D128" s="22" t="n">
        <v>106</v>
      </c>
      <c r="E128" s="20" t="n">
        <v>3.42</v>
      </c>
      <c r="G128" s="22" t="n">
        <v>106</v>
      </c>
      <c r="H128" s="20" t="n">
        <v>3.42</v>
      </c>
    </row>
    <row r="129" customFormat="false" ht="15" hidden="false" customHeight="false" outlineLevel="0" collapsed="false">
      <c r="A129" s="22" t="n">
        <v>108</v>
      </c>
      <c r="B129" s="20" t="n">
        <v>3.23</v>
      </c>
      <c r="D129" s="22" t="n">
        <v>108</v>
      </c>
      <c r="E129" s="20" t="n">
        <v>3.42</v>
      </c>
      <c r="G129" s="22" t="n">
        <v>108</v>
      </c>
      <c r="H129" s="20" t="n">
        <v>3.42</v>
      </c>
    </row>
    <row r="130" customFormat="false" ht="15" hidden="false" customHeight="false" outlineLevel="0" collapsed="false">
      <c r="A130" s="22" t="n">
        <v>110</v>
      </c>
      <c r="B130" s="20" t="n">
        <v>3.4</v>
      </c>
      <c r="D130" s="22" t="n">
        <v>110</v>
      </c>
      <c r="E130" s="20" t="n">
        <v>3.6</v>
      </c>
      <c r="G130" s="22" t="n">
        <v>110</v>
      </c>
      <c r="H130" s="20" t="n">
        <v>3.6</v>
      </c>
    </row>
    <row r="131" customFormat="false" ht="15" hidden="false" customHeight="false" outlineLevel="0" collapsed="false">
      <c r="A131" s="22" t="n">
        <v>112</v>
      </c>
      <c r="B131" s="20" t="n">
        <v>3.4</v>
      </c>
      <c r="D131" s="22" t="n">
        <v>112</v>
      </c>
      <c r="E131" s="20" t="n">
        <v>3.6</v>
      </c>
      <c r="G131" s="22" t="n">
        <v>112</v>
      </c>
      <c r="H131" s="20" t="n">
        <v>3.6</v>
      </c>
    </row>
    <row r="132" customFormat="false" ht="15" hidden="false" customHeight="false" outlineLevel="0" collapsed="false">
      <c r="A132" s="22" t="n">
        <v>114</v>
      </c>
      <c r="B132" s="20" t="n">
        <v>3.57</v>
      </c>
      <c r="D132" s="22" t="n">
        <v>114</v>
      </c>
      <c r="E132" s="20" t="n">
        <v>3.78</v>
      </c>
      <c r="G132" s="22" t="n">
        <v>114</v>
      </c>
      <c r="H132" s="20" t="n">
        <v>3.78</v>
      </c>
    </row>
    <row r="133" customFormat="false" ht="15" hidden="false" customHeight="false" outlineLevel="0" collapsed="false">
      <c r="A133" s="22" t="n">
        <v>116</v>
      </c>
      <c r="B133" s="20" t="n">
        <v>3.57</v>
      </c>
      <c r="D133" s="22" t="n">
        <v>116</v>
      </c>
      <c r="E133" s="20" t="n">
        <v>3.78</v>
      </c>
      <c r="G133" s="22" t="n">
        <v>116</v>
      </c>
      <c r="H133" s="20" t="n">
        <v>3.78</v>
      </c>
    </row>
    <row r="134" customFormat="false" ht="15" hidden="false" customHeight="false" outlineLevel="0" collapsed="false">
      <c r="A134" s="22" t="n">
        <v>118</v>
      </c>
      <c r="B134" s="20" t="n">
        <v>3.74</v>
      </c>
      <c r="D134" s="22" t="n">
        <v>118</v>
      </c>
      <c r="E134" s="20" t="n">
        <v>3.96</v>
      </c>
      <c r="G134" s="22" t="n">
        <v>118</v>
      </c>
      <c r="H134" s="20" t="n">
        <v>3.96</v>
      </c>
    </row>
    <row r="135" customFormat="false" ht="15" hidden="false" customHeight="false" outlineLevel="0" collapsed="false">
      <c r="A135" s="22" t="n">
        <v>120</v>
      </c>
      <c r="B135" s="20" t="n">
        <v>3.74</v>
      </c>
      <c r="D135" s="22" t="n">
        <v>120</v>
      </c>
      <c r="E135" s="20" t="n">
        <v>3.96</v>
      </c>
      <c r="G135" s="22" t="n">
        <v>120</v>
      </c>
      <c r="H135" s="20" t="n">
        <v>3.96</v>
      </c>
    </row>
    <row r="136" customFormat="false" ht="15" hidden="false" customHeight="false" outlineLevel="0" collapsed="false">
      <c r="A136" s="22" t="n">
        <v>122</v>
      </c>
      <c r="B136" s="20" t="n">
        <v>3.91</v>
      </c>
      <c r="D136" s="22" t="n">
        <v>122</v>
      </c>
      <c r="E136" s="20" t="n">
        <v>4.14</v>
      </c>
      <c r="G136" s="22" t="n">
        <v>122</v>
      </c>
      <c r="H136" s="20" t="n">
        <v>4.14</v>
      </c>
    </row>
    <row r="137" customFormat="false" ht="15" hidden="false" customHeight="false" outlineLevel="0" collapsed="false">
      <c r="A137" s="22" t="n">
        <v>124</v>
      </c>
      <c r="B137" s="20" t="n">
        <v>3.91</v>
      </c>
      <c r="D137" s="22" t="n">
        <v>124</v>
      </c>
      <c r="E137" s="20" t="n">
        <v>4.14</v>
      </c>
      <c r="G137" s="22" t="n">
        <v>124</v>
      </c>
      <c r="H137" s="20" t="n">
        <v>4.14</v>
      </c>
    </row>
    <row r="138" customFormat="false" ht="15" hidden="false" customHeight="false" outlineLevel="0" collapsed="false">
      <c r="A138" s="22" t="n">
        <v>126</v>
      </c>
      <c r="B138" s="20" t="n">
        <v>4.08</v>
      </c>
      <c r="D138" s="22" t="n">
        <v>126</v>
      </c>
      <c r="E138" s="20" t="n">
        <v>4.32</v>
      </c>
      <c r="G138" s="22" t="n">
        <v>126</v>
      </c>
      <c r="H138" s="20" t="n">
        <v>4.32</v>
      </c>
    </row>
    <row r="139" customFormat="false" ht="15" hidden="false" customHeight="false" outlineLevel="0" collapsed="false">
      <c r="A139" s="22" t="n">
        <v>128</v>
      </c>
      <c r="B139" s="20" t="n">
        <v>4.08</v>
      </c>
      <c r="D139" s="22" t="n">
        <v>128</v>
      </c>
      <c r="E139" s="20" t="n">
        <v>4.32</v>
      </c>
      <c r="G139" s="22" t="n">
        <v>128</v>
      </c>
      <c r="H139" s="20" t="n">
        <v>4.32</v>
      </c>
    </row>
    <row r="140" customFormat="false" ht="15" hidden="false" customHeight="false" outlineLevel="0" collapsed="false">
      <c r="A140" s="22" t="n">
        <v>130</v>
      </c>
      <c r="B140" s="20" t="n">
        <v>4.25</v>
      </c>
      <c r="D140" s="22" t="n">
        <v>130</v>
      </c>
      <c r="E140" s="20" t="n">
        <v>4.5</v>
      </c>
      <c r="G140" s="22" t="n">
        <v>130</v>
      </c>
      <c r="H140" s="20" t="n">
        <v>4.5</v>
      </c>
    </row>
    <row r="141" customFormat="false" ht="15" hidden="false" customHeight="false" outlineLevel="0" collapsed="false">
      <c r="A141" s="22" t="n">
        <v>132</v>
      </c>
      <c r="B141" s="20" t="n">
        <v>4.25</v>
      </c>
      <c r="D141" s="22" t="n">
        <v>132</v>
      </c>
      <c r="E141" s="20" t="n">
        <v>4.5</v>
      </c>
      <c r="G141" s="22" t="n">
        <v>132</v>
      </c>
      <c r="H141" s="20" t="n">
        <v>4.5</v>
      </c>
    </row>
    <row r="142" customFormat="false" ht="15" hidden="false" customHeight="false" outlineLevel="0" collapsed="false">
      <c r="A142" s="22" t="n">
        <v>134</v>
      </c>
      <c r="B142" s="20" t="n">
        <v>4.42</v>
      </c>
      <c r="D142" s="22" t="n">
        <v>134</v>
      </c>
      <c r="E142" s="20" t="n">
        <v>4.68</v>
      </c>
      <c r="G142" s="22" t="n">
        <v>134</v>
      </c>
      <c r="H142" s="20" t="n">
        <v>4.68</v>
      </c>
    </row>
    <row r="143" customFormat="false" ht="15" hidden="false" customHeight="false" outlineLevel="0" collapsed="false">
      <c r="A143" s="22" t="n">
        <v>136</v>
      </c>
      <c r="B143" s="20" t="n">
        <v>4.42</v>
      </c>
      <c r="D143" s="22" t="n">
        <v>136</v>
      </c>
      <c r="E143" s="20" t="n">
        <v>4.68</v>
      </c>
      <c r="G143" s="22" t="n">
        <v>136</v>
      </c>
      <c r="H143" s="20" t="n">
        <v>4.68</v>
      </c>
    </row>
    <row r="144" customFormat="false" ht="15" hidden="false" customHeight="false" outlineLevel="0" collapsed="false">
      <c r="A144" s="22" t="n">
        <v>138</v>
      </c>
      <c r="B144" s="20" t="n">
        <v>4.59</v>
      </c>
      <c r="D144" s="22" t="n">
        <v>138</v>
      </c>
      <c r="E144" s="20" t="n">
        <v>4.86</v>
      </c>
      <c r="G144" s="22" t="n">
        <v>138</v>
      </c>
      <c r="H144" s="20" t="n">
        <v>4.86</v>
      </c>
    </row>
    <row r="145" customFormat="false" ht="15" hidden="false" customHeight="false" outlineLevel="0" collapsed="false">
      <c r="A145" s="22" t="n">
        <v>140</v>
      </c>
      <c r="B145" s="20" t="n">
        <v>4.59</v>
      </c>
      <c r="D145" s="22" t="n">
        <v>140</v>
      </c>
      <c r="E145" s="20" t="n">
        <v>4.86</v>
      </c>
      <c r="G145" s="22" t="n">
        <v>140</v>
      </c>
      <c r="H145" s="20" t="n">
        <v>4.86</v>
      </c>
    </row>
    <row r="146" customFormat="false" ht="15" hidden="false" customHeight="false" outlineLevel="0" collapsed="false">
      <c r="A146" s="22" t="n">
        <v>142</v>
      </c>
      <c r="B146" s="20" t="n">
        <v>4.76</v>
      </c>
      <c r="D146" s="22" t="n">
        <v>142</v>
      </c>
      <c r="E146" s="20" t="n">
        <v>5.04</v>
      </c>
      <c r="G146" s="22" t="n">
        <v>142</v>
      </c>
      <c r="H146" s="20" t="n">
        <v>5.04</v>
      </c>
    </row>
    <row r="147" customFormat="false" ht="15" hidden="false" customHeight="false" outlineLevel="0" collapsed="false">
      <c r="A147" s="22" t="n">
        <v>144</v>
      </c>
      <c r="B147" s="20" t="n">
        <v>4.76</v>
      </c>
      <c r="D147" s="22" t="n">
        <v>144</v>
      </c>
      <c r="E147" s="20" t="n">
        <v>5.04</v>
      </c>
      <c r="G147" s="22" t="n">
        <v>144</v>
      </c>
      <c r="H147" s="20" t="n">
        <v>5.04</v>
      </c>
    </row>
    <row r="148" customFormat="false" ht="15" hidden="false" customHeight="false" outlineLevel="0" collapsed="false">
      <c r="A148" s="22" t="n">
        <v>146</v>
      </c>
      <c r="B148" s="20" t="n">
        <v>4.93</v>
      </c>
      <c r="D148" s="22" t="n">
        <v>146</v>
      </c>
      <c r="E148" s="20" t="n">
        <v>5.22</v>
      </c>
      <c r="G148" s="22" t="n">
        <v>146</v>
      </c>
      <c r="H148" s="20" t="n">
        <v>5.22</v>
      </c>
    </row>
    <row r="149" customFormat="false" ht="15" hidden="false" customHeight="false" outlineLevel="0" collapsed="false">
      <c r="A149" s="22" t="n">
        <v>148</v>
      </c>
      <c r="B149" s="20" t="n">
        <v>4.93</v>
      </c>
      <c r="D149" s="22" t="n">
        <v>148</v>
      </c>
      <c r="E149" s="20" t="n">
        <v>5.22</v>
      </c>
      <c r="G149" s="22" t="n">
        <v>148</v>
      </c>
      <c r="H149" s="20" t="n">
        <v>5.22</v>
      </c>
    </row>
    <row r="150" customFormat="false" ht="15" hidden="false" customHeight="false" outlineLevel="0" collapsed="false">
      <c r="A150" s="22" t="n">
        <v>150</v>
      </c>
      <c r="B150" s="20" t="n">
        <v>5.1</v>
      </c>
      <c r="D150" s="22" t="n">
        <v>150</v>
      </c>
      <c r="E150" s="20" t="n">
        <v>5.4</v>
      </c>
      <c r="G150" s="22" t="n">
        <v>150</v>
      </c>
      <c r="H150" s="20" t="n">
        <v>5.4</v>
      </c>
    </row>
    <row r="151" customFormat="false" ht="15" hidden="false" customHeight="false" outlineLevel="0" collapsed="false">
      <c r="A151" s="22" t="n">
        <v>152</v>
      </c>
      <c r="B151" s="20" t="n">
        <v>5.1</v>
      </c>
      <c r="D151" s="22" t="n">
        <v>152</v>
      </c>
      <c r="E151" s="20" t="n">
        <v>5.4</v>
      </c>
      <c r="G151" s="22" t="n">
        <v>152</v>
      </c>
      <c r="H151" s="20" t="n">
        <v>5.4</v>
      </c>
    </row>
    <row r="152" customFormat="false" ht="15" hidden="false" customHeight="false" outlineLevel="0" collapsed="false">
      <c r="A152" s="22" t="n">
        <v>154</v>
      </c>
      <c r="B152" s="20" t="n">
        <v>5.27</v>
      </c>
      <c r="D152" s="22" t="n">
        <v>154</v>
      </c>
      <c r="E152" s="20" t="n">
        <v>5.58</v>
      </c>
      <c r="G152" s="22" t="n">
        <v>154</v>
      </c>
      <c r="H152" s="20" t="n">
        <v>5.58</v>
      </c>
    </row>
    <row r="153" customFormat="false" ht="15" hidden="false" customHeight="false" outlineLevel="0" collapsed="false">
      <c r="A153" s="22" t="n">
        <v>156</v>
      </c>
      <c r="B153" s="20" t="n">
        <v>5.27</v>
      </c>
      <c r="D153" s="22" t="n">
        <v>156</v>
      </c>
      <c r="E153" s="20" t="n">
        <v>5.58</v>
      </c>
      <c r="G153" s="22" t="n">
        <v>156</v>
      </c>
      <c r="H153" s="20" t="n">
        <v>5.58</v>
      </c>
    </row>
    <row r="154" customFormat="false" ht="15" hidden="false" customHeight="false" outlineLevel="0" collapsed="false">
      <c r="A154" s="22" t="n">
        <v>158</v>
      </c>
      <c r="B154" s="20" t="n">
        <v>5.44</v>
      </c>
      <c r="D154" s="22" t="n">
        <v>158</v>
      </c>
      <c r="E154" s="20" t="n">
        <v>5.76</v>
      </c>
      <c r="G154" s="22" t="n">
        <v>158</v>
      </c>
      <c r="H154" s="20" t="n">
        <v>5.76</v>
      </c>
    </row>
    <row r="155" customFormat="false" ht="15" hidden="false" customHeight="false" outlineLevel="0" collapsed="false">
      <c r="A155" s="22" t="n">
        <v>160</v>
      </c>
      <c r="B155" s="20" t="n">
        <v>5.44</v>
      </c>
      <c r="D155" s="22" t="n">
        <v>160</v>
      </c>
      <c r="E155" s="20" t="n">
        <v>5.76</v>
      </c>
      <c r="G155" s="22" t="n">
        <v>160</v>
      </c>
      <c r="H155" s="20" t="n">
        <v>5.76</v>
      </c>
    </row>
    <row r="156" customFormat="false" ht="15" hidden="false" customHeight="false" outlineLevel="0" collapsed="false">
      <c r="A156" s="22" t="n">
        <v>162</v>
      </c>
      <c r="B156" s="20" t="n">
        <v>5.61</v>
      </c>
      <c r="D156" s="22" t="n">
        <v>162</v>
      </c>
      <c r="E156" s="20" t="n">
        <v>5.94</v>
      </c>
      <c r="G156" s="22" t="n">
        <v>162</v>
      </c>
      <c r="H156" s="20" t="n">
        <v>5.94</v>
      </c>
    </row>
    <row r="157" customFormat="false" ht="15" hidden="false" customHeight="false" outlineLevel="0" collapsed="false">
      <c r="A157" s="22" t="n">
        <v>164</v>
      </c>
      <c r="B157" s="20" t="n">
        <v>5.61</v>
      </c>
      <c r="D157" s="22" t="n">
        <v>164</v>
      </c>
      <c r="E157" s="20" t="n">
        <v>5.94</v>
      </c>
      <c r="G157" s="22" t="n">
        <v>164</v>
      </c>
      <c r="H157" s="20" t="n">
        <v>5.94</v>
      </c>
    </row>
    <row r="158" customFormat="false" ht="15" hidden="false" customHeight="false" outlineLevel="0" collapsed="false">
      <c r="A158" s="22" t="n">
        <v>166</v>
      </c>
      <c r="B158" s="20" t="n">
        <v>5.78</v>
      </c>
      <c r="D158" s="22" t="n">
        <v>166</v>
      </c>
      <c r="E158" s="20" t="n">
        <v>6.12</v>
      </c>
      <c r="G158" s="22" t="n">
        <v>166</v>
      </c>
      <c r="H158" s="20" t="n">
        <v>6.12</v>
      </c>
    </row>
    <row r="159" customFormat="false" ht="15" hidden="false" customHeight="false" outlineLevel="0" collapsed="false">
      <c r="A159" s="22" t="n">
        <v>168</v>
      </c>
      <c r="B159" s="20" t="n">
        <v>5.78</v>
      </c>
      <c r="D159" s="22" t="n">
        <v>168</v>
      </c>
      <c r="E159" s="20" t="n">
        <v>6.12</v>
      </c>
      <c r="G159" s="22" t="n">
        <v>168</v>
      </c>
      <c r="H159" s="20" t="n">
        <v>6.12</v>
      </c>
    </row>
    <row r="160" customFormat="false" ht="15" hidden="false" customHeight="false" outlineLevel="0" collapsed="false">
      <c r="A160" s="22" t="n">
        <v>170</v>
      </c>
      <c r="B160" s="20" t="n">
        <v>5.95</v>
      </c>
      <c r="D160" s="22" t="n">
        <v>170</v>
      </c>
      <c r="E160" s="20" t="n">
        <v>6.3</v>
      </c>
      <c r="G160" s="22" t="n">
        <v>170</v>
      </c>
      <c r="H160" s="20" t="n">
        <v>6.3</v>
      </c>
    </row>
    <row r="161" customFormat="false" ht="15" hidden="false" customHeight="false" outlineLevel="0" collapsed="false">
      <c r="A161" s="22" t="n">
        <v>172</v>
      </c>
      <c r="B161" s="20" t="n">
        <v>5.95</v>
      </c>
      <c r="D161" s="22" t="n">
        <v>172</v>
      </c>
      <c r="E161" s="20" t="n">
        <v>6.3</v>
      </c>
      <c r="G161" s="22" t="n">
        <v>172</v>
      </c>
      <c r="H161" s="20" t="n">
        <v>6.3</v>
      </c>
    </row>
    <row r="162" customFormat="false" ht="15" hidden="false" customHeight="false" outlineLevel="0" collapsed="false">
      <c r="A162" s="22" t="n">
        <v>174</v>
      </c>
      <c r="B162" s="20" t="n">
        <v>6.12</v>
      </c>
      <c r="D162" s="22" t="n">
        <v>174</v>
      </c>
      <c r="E162" s="20" t="n">
        <v>6.48</v>
      </c>
      <c r="G162" s="22" t="n">
        <v>174</v>
      </c>
      <c r="H162" s="20" t="n">
        <v>6.48</v>
      </c>
    </row>
    <row r="163" customFormat="false" ht="15" hidden="false" customHeight="false" outlineLevel="0" collapsed="false">
      <c r="A163" s="22" t="n">
        <v>176</v>
      </c>
      <c r="B163" s="20" t="n">
        <v>6.12</v>
      </c>
      <c r="D163" s="22" t="n">
        <v>176</v>
      </c>
      <c r="E163" s="20" t="n">
        <v>6.48</v>
      </c>
      <c r="G163" s="22" t="n">
        <v>176</v>
      </c>
      <c r="H163" s="20" t="n">
        <v>6.48</v>
      </c>
    </row>
    <row r="164" customFormat="false" ht="15" hidden="false" customHeight="false" outlineLevel="0" collapsed="false">
      <c r="A164" s="22" t="n">
        <v>178</v>
      </c>
      <c r="B164" s="20" t="n">
        <v>6.29</v>
      </c>
      <c r="D164" s="22" t="n">
        <v>178</v>
      </c>
      <c r="E164" s="20" t="n">
        <v>6.66</v>
      </c>
      <c r="G164" s="22" t="n">
        <v>178</v>
      </c>
      <c r="H164" s="20" t="n">
        <v>6.66</v>
      </c>
    </row>
    <row r="165" customFormat="false" ht="15" hidden="false" customHeight="false" outlineLevel="0" collapsed="false">
      <c r="A165" s="22" t="n">
        <v>180</v>
      </c>
      <c r="B165" s="20" t="n">
        <v>6.29</v>
      </c>
      <c r="D165" s="22" t="n">
        <v>180</v>
      </c>
      <c r="E165" s="20" t="n">
        <v>6.66</v>
      </c>
      <c r="G165" s="22" t="n">
        <v>180</v>
      </c>
      <c r="H165" s="20" t="n">
        <v>6.66</v>
      </c>
    </row>
    <row r="166" customFormat="false" ht="15" hidden="false" customHeight="false" outlineLevel="0" collapsed="false">
      <c r="A166" s="22" t="n">
        <v>182</v>
      </c>
      <c r="B166" s="20" t="n">
        <v>6.46</v>
      </c>
      <c r="D166" s="22" t="n">
        <v>182</v>
      </c>
      <c r="E166" s="20" t="n">
        <v>6.84</v>
      </c>
      <c r="G166" s="22" t="n">
        <v>182</v>
      </c>
      <c r="H166" s="20" t="n">
        <v>6.84</v>
      </c>
    </row>
    <row r="167" customFormat="false" ht="15" hidden="false" customHeight="false" outlineLevel="0" collapsed="false">
      <c r="A167" s="22" t="n">
        <v>184</v>
      </c>
      <c r="B167" s="20" t="n">
        <v>6.46</v>
      </c>
      <c r="D167" s="22" t="n">
        <v>184</v>
      </c>
      <c r="E167" s="20" t="n">
        <v>6.84</v>
      </c>
      <c r="G167" s="22" t="n">
        <v>184</v>
      </c>
      <c r="H167" s="20" t="n">
        <v>6.84</v>
      </c>
    </row>
    <row r="168" customFormat="false" ht="15" hidden="false" customHeight="false" outlineLevel="0" collapsed="false">
      <c r="A168" s="22" t="n">
        <v>186</v>
      </c>
      <c r="B168" s="20" t="n">
        <v>6.63</v>
      </c>
      <c r="D168" s="22" t="n">
        <v>186</v>
      </c>
      <c r="E168" s="20" t="n">
        <v>7.02</v>
      </c>
      <c r="G168" s="22" t="n">
        <v>186</v>
      </c>
      <c r="H168" s="20" t="n">
        <v>7.02</v>
      </c>
    </row>
    <row r="169" customFormat="false" ht="15" hidden="false" customHeight="false" outlineLevel="0" collapsed="false">
      <c r="A169" s="22" t="n">
        <v>188</v>
      </c>
      <c r="B169" s="20" t="n">
        <v>6.63</v>
      </c>
      <c r="D169" s="22" t="n">
        <v>188</v>
      </c>
      <c r="E169" s="20" t="n">
        <v>7.02</v>
      </c>
      <c r="G169" s="22" t="n">
        <v>188</v>
      </c>
      <c r="H169" s="20" t="n">
        <v>7.02</v>
      </c>
    </row>
    <row r="170" customFormat="false" ht="15" hidden="false" customHeight="false" outlineLevel="0" collapsed="false">
      <c r="A170" s="22" t="n">
        <v>190</v>
      </c>
      <c r="B170" s="20" t="n">
        <v>6.8</v>
      </c>
      <c r="D170" s="22" t="n">
        <v>190</v>
      </c>
      <c r="E170" s="20" t="n">
        <v>7.2</v>
      </c>
      <c r="G170" s="22" t="n">
        <v>190</v>
      </c>
      <c r="H170" s="20" t="n">
        <v>7.2</v>
      </c>
    </row>
    <row r="171" customFormat="false" ht="15" hidden="false" customHeight="false" outlineLevel="0" collapsed="false">
      <c r="A171" s="22" t="n">
        <v>192</v>
      </c>
      <c r="B171" s="20" t="n">
        <v>6.8</v>
      </c>
      <c r="D171" s="22" t="n">
        <v>192</v>
      </c>
      <c r="E171" s="20" t="n">
        <v>7.2</v>
      </c>
      <c r="G171" s="22" t="n">
        <v>192</v>
      </c>
      <c r="H171" s="20" t="n">
        <v>7.2</v>
      </c>
    </row>
    <row r="172" customFormat="false" ht="15" hidden="false" customHeight="false" outlineLevel="0" collapsed="false">
      <c r="A172" s="22" t="n">
        <v>194</v>
      </c>
      <c r="B172" s="20" t="n">
        <v>6.97</v>
      </c>
      <c r="D172" s="22" t="n">
        <v>194</v>
      </c>
      <c r="E172" s="20" t="n">
        <v>7.38</v>
      </c>
      <c r="G172" s="22" t="n">
        <v>194</v>
      </c>
      <c r="H172" s="20" t="n">
        <v>7.38</v>
      </c>
    </row>
    <row r="173" customFormat="false" ht="15" hidden="false" customHeight="false" outlineLevel="0" collapsed="false">
      <c r="A173" s="22" t="n">
        <v>196</v>
      </c>
      <c r="B173" s="20" t="n">
        <v>6.97</v>
      </c>
      <c r="D173" s="22" t="n">
        <v>196</v>
      </c>
      <c r="E173" s="20" t="n">
        <v>7.38</v>
      </c>
      <c r="G173" s="22" t="n">
        <v>196</v>
      </c>
      <c r="H173" s="20" t="n">
        <v>7.38</v>
      </c>
    </row>
    <row r="174" customFormat="false" ht="15" hidden="false" customHeight="false" outlineLevel="0" collapsed="false">
      <c r="A174" s="22" t="n">
        <v>198</v>
      </c>
      <c r="B174" s="20" t="n">
        <v>7.14</v>
      </c>
      <c r="D174" s="22" t="n">
        <v>198</v>
      </c>
      <c r="E174" s="20" t="n">
        <v>7.56</v>
      </c>
      <c r="G174" s="22" t="n">
        <v>198</v>
      </c>
      <c r="H174" s="20" t="n">
        <v>7.56</v>
      </c>
    </row>
    <row r="175" customFormat="false" ht="15" hidden="false" customHeight="false" outlineLevel="0" collapsed="false">
      <c r="A175" s="22" t="n">
        <v>200</v>
      </c>
      <c r="B175" s="20" t="n">
        <v>7.14</v>
      </c>
      <c r="D175" s="22" t="n">
        <v>200</v>
      </c>
      <c r="E175" s="20" t="n">
        <v>7.56</v>
      </c>
      <c r="G175" s="22" t="n">
        <v>200</v>
      </c>
      <c r="H175" s="20" t="n">
        <v>7.56</v>
      </c>
    </row>
    <row r="176" customFormat="false" ht="15" hidden="false" customHeight="false" outlineLevel="0" collapsed="false">
      <c r="A176" s="22" t="n">
        <v>202</v>
      </c>
      <c r="B176" s="20" t="n">
        <v>7.31</v>
      </c>
      <c r="D176" s="22" t="n">
        <v>202</v>
      </c>
      <c r="E176" s="20" t="n">
        <v>7.74</v>
      </c>
      <c r="G176" s="22" t="n">
        <v>202</v>
      </c>
      <c r="H176" s="20" t="n">
        <v>7.74</v>
      </c>
    </row>
    <row r="177" customFormat="false" ht="15" hidden="false" customHeight="false" outlineLevel="0" collapsed="false">
      <c r="A177" s="22" t="n">
        <v>204</v>
      </c>
      <c r="B177" s="20" t="n">
        <v>7.31</v>
      </c>
      <c r="D177" s="22" t="n">
        <v>204</v>
      </c>
      <c r="E177" s="20" t="n">
        <v>7.74</v>
      </c>
      <c r="G177" s="22" t="n">
        <v>204</v>
      </c>
      <c r="H177" s="20" t="n">
        <v>7.74</v>
      </c>
    </row>
    <row r="178" customFormat="false" ht="15" hidden="false" customHeight="false" outlineLevel="0" collapsed="false">
      <c r="A178" s="22" t="n">
        <v>206</v>
      </c>
      <c r="B178" s="20" t="n">
        <v>7.48</v>
      </c>
      <c r="D178" s="22" t="n">
        <v>206</v>
      </c>
      <c r="E178" s="20" t="n">
        <v>7.92</v>
      </c>
      <c r="G178" s="22" t="n">
        <v>206</v>
      </c>
      <c r="H178" s="20" t="n">
        <v>7.92</v>
      </c>
    </row>
    <row r="179" customFormat="false" ht="15" hidden="false" customHeight="false" outlineLevel="0" collapsed="false">
      <c r="A179" s="22" t="n">
        <v>208</v>
      </c>
      <c r="B179" s="20" t="n">
        <v>7.48</v>
      </c>
      <c r="D179" s="22" t="n">
        <v>208</v>
      </c>
      <c r="E179" s="20" t="n">
        <v>7.92</v>
      </c>
      <c r="G179" s="22" t="n">
        <v>208</v>
      </c>
      <c r="H179" s="20" t="n">
        <v>7.92</v>
      </c>
    </row>
    <row r="180" customFormat="false" ht="15" hidden="false" customHeight="false" outlineLevel="0" collapsed="false">
      <c r="A180" s="22" t="n">
        <v>210</v>
      </c>
      <c r="B180" s="20" t="n">
        <v>7.65</v>
      </c>
      <c r="D180" s="22" t="n">
        <v>210</v>
      </c>
      <c r="E180" s="20" t="n">
        <v>8.1</v>
      </c>
      <c r="G180" s="22" t="n">
        <v>210</v>
      </c>
      <c r="H180" s="20" t="n">
        <v>8.1</v>
      </c>
    </row>
    <row r="181" customFormat="false" ht="15" hidden="false" customHeight="false" outlineLevel="0" collapsed="false">
      <c r="A181" s="22" t="n">
        <v>212</v>
      </c>
      <c r="B181" s="20" t="n">
        <v>7.65</v>
      </c>
      <c r="D181" s="22" t="n">
        <v>212</v>
      </c>
      <c r="E181" s="20" t="n">
        <v>8.1</v>
      </c>
      <c r="G181" s="22" t="n">
        <v>212</v>
      </c>
      <c r="H181" s="20" t="n">
        <v>8.1</v>
      </c>
    </row>
    <row r="182" customFormat="false" ht="15" hidden="false" customHeight="false" outlineLevel="0" collapsed="false">
      <c r="A182" s="22" t="n">
        <v>214</v>
      </c>
      <c r="B182" s="20" t="n">
        <v>7.82</v>
      </c>
      <c r="D182" s="22" t="n">
        <v>214</v>
      </c>
      <c r="E182" s="20" t="n">
        <v>8.28</v>
      </c>
      <c r="G182" s="22" t="n">
        <v>214</v>
      </c>
      <c r="H182" s="20" t="n">
        <v>8.28</v>
      </c>
    </row>
    <row r="183" customFormat="false" ht="15" hidden="false" customHeight="false" outlineLevel="0" collapsed="false">
      <c r="A183" s="22" t="n">
        <v>216</v>
      </c>
      <c r="B183" s="20" t="n">
        <v>7.82</v>
      </c>
      <c r="D183" s="22" t="n">
        <v>216</v>
      </c>
      <c r="E183" s="20" t="n">
        <v>8.28</v>
      </c>
      <c r="G183" s="22" t="n">
        <v>216</v>
      </c>
      <c r="H183" s="20" t="n">
        <v>8.28</v>
      </c>
    </row>
    <row r="184" customFormat="false" ht="15" hidden="false" customHeight="false" outlineLevel="0" collapsed="false">
      <c r="A184" s="22" t="n">
        <v>218</v>
      </c>
      <c r="B184" s="20" t="n">
        <v>7.99</v>
      </c>
      <c r="D184" s="22" t="n">
        <v>218</v>
      </c>
      <c r="E184" s="20" t="n">
        <v>8.46</v>
      </c>
      <c r="G184" s="22" t="n">
        <v>218</v>
      </c>
      <c r="H184" s="20" t="n">
        <v>8.46</v>
      </c>
    </row>
    <row r="185" customFormat="false" ht="15" hidden="false" customHeight="false" outlineLevel="0" collapsed="false">
      <c r="A185" s="22" t="n">
        <v>220</v>
      </c>
      <c r="B185" s="20" t="n">
        <v>7.99</v>
      </c>
      <c r="D185" s="22" t="n">
        <v>220</v>
      </c>
      <c r="E185" s="20" t="n">
        <v>8.46</v>
      </c>
      <c r="G185" s="22" t="n">
        <v>220</v>
      </c>
      <c r="H185" s="20" t="n">
        <v>8.46</v>
      </c>
    </row>
    <row r="186" customFormat="false" ht="15" hidden="false" customHeight="false" outlineLevel="0" collapsed="false">
      <c r="A186" s="22" t="n">
        <v>222</v>
      </c>
      <c r="B186" s="20" t="n">
        <v>8.16</v>
      </c>
      <c r="D186" s="22" t="n">
        <v>222</v>
      </c>
      <c r="E186" s="20" t="n">
        <v>8.64</v>
      </c>
      <c r="G186" s="22" t="n">
        <v>222</v>
      </c>
      <c r="H186" s="20" t="n">
        <v>8.64</v>
      </c>
    </row>
    <row r="187" customFormat="false" ht="15" hidden="false" customHeight="false" outlineLevel="0" collapsed="false">
      <c r="A187" s="22" t="n">
        <v>224</v>
      </c>
      <c r="B187" s="20" t="n">
        <v>8.16</v>
      </c>
      <c r="D187" s="22" t="n">
        <v>224</v>
      </c>
      <c r="E187" s="20" t="n">
        <v>8.64</v>
      </c>
      <c r="G187" s="22" t="n">
        <v>224</v>
      </c>
      <c r="H187" s="20" t="n">
        <v>8.64</v>
      </c>
    </row>
    <row r="188" customFormat="false" ht="15" hidden="false" customHeight="false" outlineLevel="0" collapsed="false">
      <c r="A188" s="22" t="n">
        <v>226</v>
      </c>
      <c r="B188" s="20" t="n">
        <v>8.33</v>
      </c>
      <c r="D188" s="22" t="n">
        <v>226</v>
      </c>
      <c r="E188" s="20" t="n">
        <v>8.82</v>
      </c>
      <c r="G188" s="22" t="n">
        <v>226</v>
      </c>
      <c r="H188" s="20" t="n">
        <v>8.82</v>
      </c>
    </row>
    <row r="189" customFormat="false" ht="15" hidden="false" customHeight="false" outlineLevel="0" collapsed="false">
      <c r="A189" s="22" t="n">
        <v>228</v>
      </c>
      <c r="B189" s="20" t="n">
        <v>8.33</v>
      </c>
      <c r="D189" s="22" t="n">
        <v>228</v>
      </c>
      <c r="E189" s="20" t="n">
        <v>8.82</v>
      </c>
      <c r="G189" s="22" t="n">
        <v>228</v>
      </c>
      <c r="H189" s="20" t="n">
        <v>8.82</v>
      </c>
    </row>
    <row r="190" customFormat="false" ht="15" hidden="false" customHeight="false" outlineLevel="0" collapsed="false">
      <c r="A190" s="22" t="n">
        <v>230</v>
      </c>
      <c r="B190" s="20" t="n">
        <v>8.5</v>
      </c>
      <c r="D190" s="22" t="n">
        <v>230</v>
      </c>
      <c r="E190" s="20" t="n">
        <v>9</v>
      </c>
      <c r="G190" s="22" t="n">
        <v>230</v>
      </c>
      <c r="H190" s="20" t="n">
        <v>9</v>
      </c>
    </row>
    <row r="191" customFormat="false" ht="15" hidden="false" customHeight="false" outlineLevel="0" collapsed="false">
      <c r="A191" s="22" t="n">
        <v>232</v>
      </c>
      <c r="B191" s="20" t="n">
        <v>8.5</v>
      </c>
      <c r="D191" s="22" t="n">
        <v>232</v>
      </c>
      <c r="E191" s="20" t="n">
        <v>9</v>
      </c>
      <c r="G191" s="22" t="n">
        <v>232</v>
      </c>
      <c r="H191" s="20" t="n">
        <v>9</v>
      </c>
    </row>
    <row r="192" customFormat="false" ht="15" hidden="false" customHeight="false" outlineLevel="0" collapsed="false">
      <c r="A192" s="22" t="n">
        <v>234</v>
      </c>
      <c r="B192" s="20" t="n">
        <v>8.67</v>
      </c>
      <c r="D192" s="22" t="n">
        <v>234</v>
      </c>
      <c r="E192" s="20" t="n">
        <v>9.18</v>
      </c>
      <c r="G192" s="22" t="n">
        <v>234</v>
      </c>
      <c r="H192" s="20" t="n">
        <v>9.18</v>
      </c>
    </row>
    <row r="193" customFormat="false" ht="15" hidden="false" customHeight="false" outlineLevel="0" collapsed="false">
      <c r="A193" s="22" t="n">
        <v>236</v>
      </c>
      <c r="B193" s="20" t="n">
        <v>8.67</v>
      </c>
      <c r="D193" s="22" t="n">
        <v>236</v>
      </c>
      <c r="E193" s="20" t="n">
        <v>9.18</v>
      </c>
      <c r="G193" s="22" t="n">
        <v>236</v>
      </c>
      <c r="H193" s="20" t="n">
        <v>9.18</v>
      </c>
    </row>
    <row r="194" customFormat="false" ht="15" hidden="false" customHeight="false" outlineLevel="0" collapsed="false">
      <c r="A194" s="22" t="n">
        <v>238</v>
      </c>
      <c r="B194" s="20" t="n">
        <v>8.84</v>
      </c>
      <c r="D194" s="22" t="n">
        <v>238</v>
      </c>
      <c r="E194" s="20" t="n">
        <v>9.36</v>
      </c>
      <c r="G194" s="22" t="n">
        <v>238</v>
      </c>
      <c r="H194" s="20" t="n">
        <v>9.36</v>
      </c>
    </row>
    <row r="195" customFormat="false" ht="15" hidden="false" customHeight="false" outlineLevel="0" collapsed="false">
      <c r="A195" s="22" t="n">
        <v>240</v>
      </c>
      <c r="B195" s="20" t="n">
        <v>8.84</v>
      </c>
      <c r="D195" s="22" t="n">
        <v>240</v>
      </c>
      <c r="E195" s="20" t="n">
        <v>9.36</v>
      </c>
      <c r="G195" s="22" t="n">
        <v>240</v>
      </c>
      <c r="H195" s="20" t="n">
        <v>9.36</v>
      </c>
    </row>
    <row r="196" customFormat="false" ht="15" hidden="false" customHeight="false" outlineLevel="0" collapsed="false">
      <c r="A196" s="22" t="n">
        <v>242</v>
      </c>
      <c r="B196" s="20" t="n">
        <v>9.01</v>
      </c>
      <c r="D196" s="22" t="n">
        <v>242</v>
      </c>
      <c r="E196" s="20" t="n">
        <v>9.54</v>
      </c>
      <c r="G196" s="22" t="n">
        <v>242</v>
      </c>
      <c r="H196" s="20" t="n">
        <v>9.54</v>
      </c>
    </row>
    <row r="197" customFormat="false" ht="15" hidden="false" customHeight="false" outlineLevel="0" collapsed="false">
      <c r="A197" s="22" t="n">
        <v>244</v>
      </c>
      <c r="B197" s="20" t="n">
        <v>9.01</v>
      </c>
      <c r="D197" s="22" t="n">
        <v>244</v>
      </c>
      <c r="E197" s="20" t="n">
        <v>9.54</v>
      </c>
      <c r="G197" s="22" t="n">
        <v>244</v>
      </c>
      <c r="H197" s="20" t="n">
        <v>9.54</v>
      </c>
    </row>
    <row r="198" customFormat="false" ht="15" hidden="false" customHeight="false" outlineLevel="0" collapsed="false">
      <c r="A198" s="22" t="n">
        <v>246</v>
      </c>
      <c r="B198" s="20" t="n">
        <v>9.18</v>
      </c>
      <c r="D198" s="22" t="n">
        <v>246</v>
      </c>
      <c r="E198" s="20" t="n">
        <v>9.72</v>
      </c>
      <c r="G198" s="22" t="n">
        <v>246</v>
      </c>
      <c r="H198" s="20" t="n">
        <v>9.72</v>
      </c>
    </row>
    <row r="199" customFormat="false" ht="15" hidden="false" customHeight="false" outlineLevel="0" collapsed="false">
      <c r="A199" s="22" t="n">
        <v>248</v>
      </c>
      <c r="B199" s="20" t="n">
        <v>9.18</v>
      </c>
      <c r="D199" s="22" t="n">
        <v>248</v>
      </c>
      <c r="E199" s="20" t="n">
        <v>9.72</v>
      </c>
      <c r="G199" s="22" t="n">
        <v>248</v>
      </c>
      <c r="H199" s="20" t="n">
        <v>9.72</v>
      </c>
    </row>
    <row r="200" customFormat="false" ht="15" hidden="false" customHeight="false" outlineLevel="0" collapsed="false">
      <c r="A200" s="22" t="n">
        <v>250</v>
      </c>
      <c r="B200" s="20" t="n">
        <v>9.35</v>
      </c>
      <c r="D200" s="22" t="n">
        <v>250</v>
      </c>
      <c r="E200" s="20" t="n">
        <v>9.9</v>
      </c>
      <c r="G200" s="22" t="n">
        <v>250</v>
      </c>
      <c r="H200" s="20" t="n">
        <v>9.9</v>
      </c>
    </row>
    <row r="201" customFormat="false" ht="15" hidden="false" customHeight="false" outlineLevel="0" collapsed="false">
      <c r="A201" s="22" t="n">
        <v>252</v>
      </c>
      <c r="B201" s="20" t="n">
        <v>9.35</v>
      </c>
      <c r="D201" s="22" t="n">
        <v>252</v>
      </c>
      <c r="E201" s="20" t="n">
        <v>9.9</v>
      </c>
      <c r="G201" s="22" t="n">
        <v>252</v>
      </c>
      <c r="H201" s="20" t="n">
        <v>9.9</v>
      </c>
    </row>
    <row r="202" customFormat="false" ht="15" hidden="false" customHeight="false" outlineLevel="0" collapsed="false">
      <c r="A202" s="22" t="n">
        <v>254</v>
      </c>
      <c r="B202" s="20" t="n">
        <v>9.52</v>
      </c>
      <c r="D202" s="22" t="n">
        <v>254</v>
      </c>
      <c r="E202" s="20" t="n">
        <v>10.08</v>
      </c>
      <c r="G202" s="22" t="n">
        <v>254</v>
      </c>
      <c r="H202" s="20" t="n">
        <v>10.08</v>
      </c>
    </row>
    <row r="203" customFormat="false" ht="15" hidden="false" customHeight="false" outlineLevel="0" collapsed="false">
      <c r="A203" s="22" t="n">
        <v>256</v>
      </c>
      <c r="B203" s="20" t="n">
        <v>9.52</v>
      </c>
      <c r="D203" s="22" t="n">
        <v>256</v>
      </c>
      <c r="E203" s="20" t="n">
        <v>10.08</v>
      </c>
      <c r="G203" s="22" t="n">
        <v>256</v>
      </c>
      <c r="H203" s="20" t="n">
        <v>10.08</v>
      </c>
    </row>
    <row r="204" customFormat="false" ht="15" hidden="false" customHeight="false" outlineLevel="0" collapsed="false">
      <c r="A204" s="22" t="n">
        <v>258</v>
      </c>
      <c r="B204" s="20" t="n">
        <v>9.69</v>
      </c>
      <c r="D204" s="22" t="n">
        <v>258</v>
      </c>
      <c r="E204" s="20" t="n">
        <v>10.26</v>
      </c>
      <c r="G204" s="22" t="n">
        <v>258</v>
      </c>
      <c r="H204" s="20" t="n">
        <v>10.26</v>
      </c>
    </row>
    <row r="205" customFormat="false" ht="15" hidden="false" customHeight="false" outlineLevel="0" collapsed="false">
      <c r="A205" s="22" t="n">
        <v>260</v>
      </c>
      <c r="B205" s="20" t="n">
        <v>9.69</v>
      </c>
      <c r="D205" s="22" t="n">
        <v>260</v>
      </c>
      <c r="E205" s="20" t="n">
        <v>10.26</v>
      </c>
      <c r="G205" s="22" t="n">
        <v>260</v>
      </c>
      <c r="H205" s="20" t="n">
        <v>10.26</v>
      </c>
    </row>
    <row r="206" customFormat="false" ht="15" hidden="false" customHeight="false" outlineLevel="0" collapsed="false">
      <c r="A206" s="22" t="n">
        <v>262</v>
      </c>
      <c r="B206" s="20" t="n">
        <v>9.86</v>
      </c>
      <c r="D206" s="22" t="n">
        <v>262</v>
      </c>
      <c r="E206" s="20" t="n">
        <v>10.44</v>
      </c>
      <c r="G206" s="22" t="n">
        <v>262</v>
      </c>
      <c r="H206" s="20" t="n">
        <v>10.44</v>
      </c>
    </row>
    <row r="207" customFormat="false" ht="15" hidden="false" customHeight="false" outlineLevel="0" collapsed="false">
      <c r="A207" s="22" t="n">
        <v>264</v>
      </c>
      <c r="B207" s="20" t="n">
        <v>9.86</v>
      </c>
      <c r="D207" s="22" t="n">
        <v>264</v>
      </c>
      <c r="E207" s="20" t="n">
        <v>10.44</v>
      </c>
      <c r="G207" s="22" t="n">
        <v>264</v>
      </c>
      <c r="H207" s="20" t="n">
        <v>10.44</v>
      </c>
    </row>
    <row r="208" customFormat="false" ht="15" hidden="false" customHeight="false" outlineLevel="0" collapsed="false">
      <c r="A208" s="22" t="n">
        <v>266</v>
      </c>
      <c r="B208" s="20" t="n">
        <v>10.03</v>
      </c>
      <c r="D208" s="22" t="n">
        <v>266</v>
      </c>
      <c r="E208" s="20" t="n">
        <v>10.62</v>
      </c>
      <c r="G208" s="22" t="n">
        <v>266</v>
      </c>
      <c r="H208" s="20" t="n">
        <v>10.62</v>
      </c>
    </row>
    <row r="209" customFormat="false" ht="15" hidden="false" customHeight="false" outlineLevel="0" collapsed="false">
      <c r="A209" s="22" t="n">
        <v>268</v>
      </c>
      <c r="B209" s="20" t="n">
        <v>10.03</v>
      </c>
      <c r="D209" s="22" t="n">
        <v>268</v>
      </c>
      <c r="E209" s="20" t="n">
        <v>10.62</v>
      </c>
      <c r="G209" s="22" t="n">
        <v>268</v>
      </c>
      <c r="H209" s="20" t="n">
        <v>10.62</v>
      </c>
    </row>
    <row r="210" customFormat="false" ht="15" hidden="false" customHeight="false" outlineLevel="0" collapsed="false">
      <c r="A210" s="22" t="n">
        <v>270</v>
      </c>
      <c r="B210" s="20" t="n">
        <v>10.2</v>
      </c>
      <c r="D210" s="22" t="n">
        <v>270</v>
      </c>
      <c r="E210" s="20" t="n">
        <v>10.8</v>
      </c>
      <c r="G210" s="22" t="n">
        <v>270</v>
      </c>
      <c r="H210" s="20" t="n">
        <v>10.8</v>
      </c>
    </row>
    <row r="211" customFormat="false" ht="15" hidden="false" customHeight="false" outlineLevel="0" collapsed="false">
      <c r="A211" s="22" t="n">
        <v>272</v>
      </c>
      <c r="B211" s="20" t="n">
        <v>10.2</v>
      </c>
      <c r="D211" s="22" t="n">
        <v>272</v>
      </c>
      <c r="E211" s="20" t="n">
        <v>10.8</v>
      </c>
      <c r="G211" s="22" t="n">
        <v>272</v>
      </c>
      <c r="H211" s="20" t="n">
        <v>10.8</v>
      </c>
    </row>
    <row r="212" customFormat="false" ht="15" hidden="false" customHeight="false" outlineLevel="0" collapsed="false">
      <c r="A212" s="22" t="n">
        <v>274</v>
      </c>
      <c r="B212" s="20" t="n">
        <v>10.37</v>
      </c>
      <c r="D212" s="22" t="n">
        <v>274</v>
      </c>
      <c r="E212" s="20" t="n">
        <v>10.98</v>
      </c>
      <c r="G212" s="22" t="n">
        <v>274</v>
      </c>
      <c r="H212" s="20" t="n">
        <v>10.98</v>
      </c>
    </row>
    <row r="213" customFormat="false" ht="15" hidden="false" customHeight="false" outlineLevel="0" collapsed="false">
      <c r="A213" s="22" t="n">
        <v>276</v>
      </c>
      <c r="B213" s="20" t="n">
        <v>10.37</v>
      </c>
      <c r="D213" s="22" t="n">
        <v>276</v>
      </c>
      <c r="E213" s="20" t="n">
        <v>10.98</v>
      </c>
      <c r="G213" s="22" t="n">
        <v>276</v>
      </c>
      <c r="H213" s="20" t="n">
        <v>10.98</v>
      </c>
    </row>
    <row r="214" customFormat="false" ht="15" hidden="false" customHeight="false" outlineLevel="0" collapsed="false">
      <c r="A214" s="22" t="n">
        <v>278</v>
      </c>
      <c r="B214" s="20" t="n">
        <v>10.54</v>
      </c>
      <c r="D214" s="22" t="n">
        <v>278</v>
      </c>
      <c r="E214" s="20" t="n">
        <v>11.16</v>
      </c>
      <c r="G214" s="22" t="n">
        <v>278</v>
      </c>
      <c r="H214" s="20" t="n">
        <v>11.16</v>
      </c>
    </row>
    <row r="215" customFormat="false" ht="15" hidden="false" customHeight="false" outlineLevel="0" collapsed="false">
      <c r="A215" s="22" t="n">
        <v>280</v>
      </c>
      <c r="B215" s="20" t="n">
        <v>10.54</v>
      </c>
      <c r="D215" s="22" t="n">
        <v>280</v>
      </c>
      <c r="E215" s="20" t="n">
        <v>11.16</v>
      </c>
      <c r="G215" s="22" t="n">
        <v>280</v>
      </c>
      <c r="H215" s="20" t="n">
        <v>11.16</v>
      </c>
    </row>
    <row r="216" customFormat="false" ht="15" hidden="false" customHeight="false" outlineLevel="0" collapsed="false">
      <c r="A216" s="22" t="n">
        <v>282</v>
      </c>
      <c r="B216" s="20" t="n">
        <v>10.71</v>
      </c>
      <c r="D216" s="22" t="n">
        <v>282</v>
      </c>
      <c r="E216" s="20" t="n">
        <v>11.34</v>
      </c>
      <c r="G216" s="22" t="n">
        <v>282</v>
      </c>
      <c r="H216" s="20" t="n">
        <v>11.34</v>
      </c>
    </row>
    <row r="217" customFormat="false" ht="15" hidden="false" customHeight="false" outlineLevel="0" collapsed="false">
      <c r="A217" s="22" t="n">
        <v>284</v>
      </c>
      <c r="B217" s="20" t="n">
        <v>10.71</v>
      </c>
      <c r="D217" s="22" t="n">
        <v>284</v>
      </c>
      <c r="E217" s="20" t="n">
        <v>11.34</v>
      </c>
      <c r="G217" s="22" t="n">
        <v>284</v>
      </c>
      <c r="H217" s="20" t="n">
        <v>11.34</v>
      </c>
    </row>
    <row r="218" customFormat="false" ht="15" hidden="false" customHeight="false" outlineLevel="0" collapsed="false">
      <c r="A218" s="22" t="n">
        <v>286</v>
      </c>
      <c r="B218" s="20" t="n">
        <v>10.88</v>
      </c>
      <c r="D218" s="22" t="n">
        <v>286</v>
      </c>
      <c r="E218" s="20" t="n">
        <v>11.52</v>
      </c>
      <c r="G218" s="22" t="n">
        <v>286</v>
      </c>
      <c r="H218" s="20" t="n">
        <v>11.52</v>
      </c>
    </row>
    <row r="219" customFormat="false" ht="15" hidden="false" customHeight="false" outlineLevel="0" collapsed="false">
      <c r="A219" s="22" t="n">
        <v>288</v>
      </c>
      <c r="B219" s="20" t="n">
        <v>10.88</v>
      </c>
      <c r="D219" s="22" t="n">
        <v>288</v>
      </c>
      <c r="E219" s="20" t="n">
        <v>11.52</v>
      </c>
      <c r="G219" s="22" t="n">
        <v>288</v>
      </c>
      <c r="H219" s="20" t="n">
        <v>11.52</v>
      </c>
    </row>
    <row r="220" customFormat="false" ht="15" hidden="false" customHeight="false" outlineLevel="0" collapsed="false">
      <c r="A220" s="22" t="n">
        <v>290</v>
      </c>
      <c r="B220" s="20" t="n">
        <v>11.05</v>
      </c>
      <c r="D220" s="22" t="n">
        <v>290</v>
      </c>
      <c r="E220" s="20" t="n">
        <v>11.7</v>
      </c>
      <c r="G220" s="22" t="n">
        <v>290</v>
      </c>
      <c r="H220" s="20" t="n">
        <v>11.7</v>
      </c>
    </row>
    <row r="221" customFormat="false" ht="15" hidden="false" customHeight="false" outlineLevel="0" collapsed="false">
      <c r="A221" s="22" t="n">
        <v>292</v>
      </c>
      <c r="B221" s="20" t="n">
        <v>11.05</v>
      </c>
      <c r="D221" s="22" t="n">
        <v>292</v>
      </c>
      <c r="E221" s="20" t="n">
        <v>11.7</v>
      </c>
      <c r="G221" s="22" t="n">
        <v>292</v>
      </c>
      <c r="H221" s="20" t="n">
        <v>11.7</v>
      </c>
    </row>
    <row r="222" customFormat="false" ht="15" hidden="false" customHeight="false" outlineLevel="0" collapsed="false">
      <c r="A222" s="22" t="n">
        <v>294</v>
      </c>
      <c r="B222" s="20" t="n">
        <v>11.22</v>
      </c>
      <c r="D222" s="22" t="n">
        <v>294</v>
      </c>
      <c r="E222" s="20" t="n">
        <v>11.88</v>
      </c>
      <c r="G222" s="22" t="n">
        <v>294</v>
      </c>
      <c r="H222" s="20" t="n">
        <v>11.88</v>
      </c>
    </row>
    <row r="223" customFormat="false" ht="15" hidden="false" customHeight="false" outlineLevel="0" collapsed="false">
      <c r="A223" s="22" t="n">
        <v>296</v>
      </c>
      <c r="B223" s="20" t="n">
        <v>11.22</v>
      </c>
      <c r="D223" s="22" t="n">
        <v>296</v>
      </c>
      <c r="E223" s="20" t="n">
        <v>11.88</v>
      </c>
      <c r="G223" s="22" t="n">
        <v>296</v>
      </c>
      <c r="H223" s="20" t="n">
        <v>11.88</v>
      </c>
    </row>
    <row r="224" customFormat="false" ht="15" hidden="false" customHeight="false" outlineLevel="0" collapsed="false">
      <c r="A224" s="22" t="n">
        <v>298</v>
      </c>
      <c r="B224" s="20" t="n">
        <v>11.39</v>
      </c>
      <c r="D224" s="22" t="n">
        <v>298</v>
      </c>
      <c r="E224" s="20" t="n">
        <v>12.06</v>
      </c>
      <c r="G224" s="22" t="n">
        <v>298</v>
      </c>
      <c r="H224" s="20" t="n">
        <v>12.06</v>
      </c>
    </row>
    <row r="225" customFormat="false" ht="15" hidden="false" customHeight="false" outlineLevel="0" collapsed="false">
      <c r="A225" s="22" t="n">
        <v>300</v>
      </c>
      <c r="B225" s="20" t="n">
        <v>11.39</v>
      </c>
      <c r="D225" s="22" t="n">
        <v>300</v>
      </c>
      <c r="E225" s="20" t="n">
        <v>12.06</v>
      </c>
      <c r="G225" s="22" t="n">
        <v>300</v>
      </c>
      <c r="H225" s="20" t="n">
        <v>12.06</v>
      </c>
    </row>
    <row r="226" customFormat="false" ht="15" hidden="false" customHeight="false" outlineLevel="0" collapsed="false">
      <c r="A226" s="22" t="n">
        <v>302</v>
      </c>
      <c r="B226" s="20" t="n">
        <v>11.56</v>
      </c>
      <c r="D226" s="22" t="n">
        <v>302</v>
      </c>
      <c r="E226" s="20" t="n">
        <v>12.24</v>
      </c>
      <c r="G226" s="22" t="n">
        <v>302</v>
      </c>
      <c r="H226" s="20" t="n">
        <v>12.24</v>
      </c>
    </row>
    <row r="227" customFormat="false" ht="15" hidden="false" customHeight="false" outlineLevel="0" collapsed="false">
      <c r="A227" s="22" t="n">
        <v>304</v>
      </c>
      <c r="B227" s="20" t="n">
        <v>11.56</v>
      </c>
      <c r="D227" s="22" t="n">
        <v>304</v>
      </c>
      <c r="E227" s="20" t="n">
        <v>12.24</v>
      </c>
      <c r="G227" s="22" t="n">
        <v>304</v>
      </c>
      <c r="H227" s="20" t="n">
        <v>12.24</v>
      </c>
    </row>
    <row r="228" customFormat="false" ht="15" hidden="false" customHeight="false" outlineLevel="0" collapsed="false">
      <c r="A228" s="22" t="n">
        <v>306</v>
      </c>
      <c r="B228" s="20" t="n">
        <v>11.73</v>
      </c>
      <c r="D228" s="22" t="n">
        <v>306</v>
      </c>
      <c r="E228" s="20" t="n">
        <v>12.42</v>
      </c>
      <c r="G228" s="22" t="n">
        <v>306</v>
      </c>
      <c r="H228" s="20" t="n">
        <v>12.42</v>
      </c>
    </row>
    <row r="229" customFormat="false" ht="15" hidden="false" customHeight="false" outlineLevel="0" collapsed="false">
      <c r="A229" s="22" t="n">
        <v>308</v>
      </c>
      <c r="B229" s="20" t="n">
        <v>11.73</v>
      </c>
      <c r="D229" s="22" t="n">
        <v>308</v>
      </c>
      <c r="E229" s="20" t="n">
        <v>12.42</v>
      </c>
      <c r="G229" s="22" t="n">
        <v>308</v>
      </c>
      <c r="H229" s="20" t="n">
        <v>12.42</v>
      </c>
    </row>
    <row r="230" customFormat="false" ht="15" hidden="false" customHeight="false" outlineLevel="0" collapsed="false">
      <c r="A230" s="22" t="n">
        <v>310</v>
      </c>
      <c r="B230" s="20" t="n">
        <v>11.9</v>
      </c>
      <c r="D230" s="22" t="n">
        <v>310</v>
      </c>
      <c r="E230" s="20" t="n">
        <v>12.6</v>
      </c>
      <c r="G230" s="22" t="n">
        <v>310</v>
      </c>
      <c r="H230" s="20" t="n">
        <v>12.6</v>
      </c>
    </row>
    <row r="231" customFormat="false" ht="15" hidden="false" customHeight="false" outlineLevel="0" collapsed="false">
      <c r="A231" s="22" t="n">
        <v>312</v>
      </c>
      <c r="B231" s="20" t="n">
        <v>11.9</v>
      </c>
      <c r="D231" s="22" t="n">
        <v>312</v>
      </c>
      <c r="E231" s="20" t="n">
        <v>12.6</v>
      </c>
      <c r="G231" s="22" t="n">
        <v>312</v>
      </c>
      <c r="H231" s="20" t="n">
        <v>12.6</v>
      </c>
    </row>
    <row r="232" customFormat="false" ht="15" hidden="false" customHeight="false" outlineLevel="0" collapsed="false">
      <c r="A232" s="22" t="n">
        <v>314</v>
      </c>
      <c r="B232" s="20" t="n">
        <v>12.07</v>
      </c>
      <c r="D232" s="22" t="n">
        <v>314</v>
      </c>
      <c r="E232" s="20" t="n">
        <v>12.78</v>
      </c>
      <c r="G232" s="22" t="n">
        <v>314</v>
      </c>
      <c r="H232" s="20" t="n">
        <v>12.78</v>
      </c>
    </row>
    <row r="233" customFormat="false" ht="15" hidden="false" customHeight="false" outlineLevel="0" collapsed="false">
      <c r="A233" s="22" t="n">
        <v>316</v>
      </c>
      <c r="B233" s="20" t="n">
        <v>12.07</v>
      </c>
      <c r="D233" s="22" t="n">
        <v>316</v>
      </c>
      <c r="E233" s="20" t="n">
        <v>12.78</v>
      </c>
      <c r="G233" s="22" t="n">
        <v>316</v>
      </c>
      <c r="H233" s="20" t="n">
        <v>12.78</v>
      </c>
    </row>
    <row r="234" customFormat="false" ht="15" hidden="false" customHeight="false" outlineLevel="0" collapsed="false">
      <c r="A234" s="22" t="n">
        <v>318</v>
      </c>
      <c r="B234" s="20" t="n">
        <v>12.24</v>
      </c>
      <c r="D234" s="22" t="n">
        <v>318</v>
      </c>
      <c r="E234" s="20" t="n">
        <v>12.96</v>
      </c>
      <c r="G234" s="22" t="n">
        <v>318</v>
      </c>
      <c r="H234" s="20" t="n">
        <v>12.96</v>
      </c>
    </row>
    <row r="235" customFormat="false" ht="15" hidden="false" customHeight="false" outlineLevel="0" collapsed="false">
      <c r="A235" s="22" t="n">
        <v>320</v>
      </c>
      <c r="B235" s="20" t="n">
        <v>12.24</v>
      </c>
      <c r="D235" s="22" t="n">
        <v>320</v>
      </c>
      <c r="E235" s="20" t="n">
        <v>12.96</v>
      </c>
      <c r="G235" s="22" t="n">
        <v>320</v>
      </c>
      <c r="H235" s="20" t="n">
        <v>12.96</v>
      </c>
    </row>
    <row r="236" customFormat="false" ht="15" hidden="false" customHeight="false" outlineLevel="0" collapsed="false">
      <c r="A236" s="22" t="n">
        <v>322</v>
      </c>
      <c r="B236" s="20" t="n">
        <v>12.41</v>
      </c>
      <c r="D236" s="22" t="n">
        <v>322</v>
      </c>
      <c r="E236" s="20" t="n">
        <v>13.14</v>
      </c>
      <c r="G236" s="22" t="n">
        <v>322</v>
      </c>
      <c r="H236" s="20" t="n">
        <v>13.14</v>
      </c>
    </row>
    <row r="237" customFormat="false" ht="15" hidden="false" customHeight="false" outlineLevel="0" collapsed="false">
      <c r="A237" s="22" t="n">
        <v>324</v>
      </c>
      <c r="B237" s="20" t="n">
        <v>12.41</v>
      </c>
      <c r="D237" s="22" t="n">
        <v>324</v>
      </c>
      <c r="E237" s="20" t="n">
        <v>13.14</v>
      </c>
      <c r="G237" s="22" t="n">
        <v>324</v>
      </c>
      <c r="H237" s="20" t="n">
        <v>13.14</v>
      </c>
    </row>
    <row r="238" customFormat="false" ht="15" hidden="false" customHeight="false" outlineLevel="0" collapsed="false">
      <c r="A238" s="22" t="n">
        <v>326</v>
      </c>
      <c r="B238" s="20" t="n">
        <v>12.58</v>
      </c>
      <c r="D238" s="22" t="n">
        <v>326</v>
      </c>
      <c r="E238" s="20" t="n">
        <v>13.32</v>
      </c>
      <c r="G238" s="22" t="n">
        <v>326</v>
      </c>
      <c r="H238" s="20" t="n">
        <v>13.32</v>
      </c>
    </row>
    <row r="239" customFormat="false" ht="15" hidden="false" customHeight="false" outlineLevel="0" collapsed="false">
      <c r="A239" s="22" t="n">
        <v>328</v>
      </c>
      <c r="B239" s="20" t="n">
        <v>12.58</v>
      </c>
      <c r="D239" s="22" t="n">
        <v>328</v>
      </c>
      <c r="E239" s="20" t="n">
        <v>13.32</v>
      </c>
      <c r="G239" s="22" t="n">
        <v>328</v>
      </c>
      <c r="H239" s="20" t="n">
        <v>13.32</v>
      </c>
    </row>
    <row r="240" customFormat="false" ht="15" hidden="false" customHeight="false" outlineLevel="0" collapsed="false">
      <c r="A240" s="22" t="n">
        <v>330</v>
      </c>
      <c r="B240" s="20" t="n">
        <v>12.75</v>
      </c>
      <c r="D240" s="22" t="n">
        <v>330</v>
      </c>
      <c r="E240" s="20" t="n">
        <v>13.5</v>
      </c>
      <c r="G240" s="22" t="n">
        <v>330</v>
      </c>
      <c r="H240" s="20" t="n">
        <v>13.5</v>
      </c>
    </row>
    <row r="241" customFormat="false" ht="15" hidden="false" customHeight="false" outlineLevel="0" collapsed="false">
      <c r="A241" s="22" t="n">
        <v>332</v>
      </c>
      <c r="B241" s="20" t="n">
        <v>12.75</v>
      </c>
      <c r="D241" s="22" t="n">
        <v>332</v>
      </c>
      <c r="E241" s="20" t="n">
        <v>13.5</v>
      </c>
      <c r="G241" s="22" t="n">
        <v>332</v>
      </c>
      <c r="H241" s="20" t="n">
        <v>13.5</v>
      </c>
    </row>
    <row r="242" customFormat="false" ht="15" hidden="false" customHeight="false" outlineLevel="0" collapsed="false">
      <c r="A242" s="22" t="n">
        <v>334</v>
      </c>
      <c r="B242" s="20" t="n">
        <v>12.92</v>
      </c>
      <c r="D242" s="22" t="n">
        <v>334</v>
      </c>
      <c r="E242" s="20" t="n">
        <v>13.68</v>
      </c>
      <c r="G242" s="22" t="n">
        <v>334</v>
      </c>
      <c r="H242" s="20" t="n">
        <v>13.68</v>
      </c>
    </row>
    <row r="243" customFormat="false" ht="15" hidden="false" customHeight="false" outlineLevel="0" collapsed="false">
      <c r="A243" s="22" t="n">
        <v>336</v>
      </c>
      <c r="B243" s="20" t="n">
        <v>12.92</v>
      </c>
      <c r="D243" s="22" t="n">
        <v>336</v>
      </c>
      <c r="E243" s="20" t="n">
        <v>13.68</v>
      </c>
      <c r="G243" s="22" t="n">
        <v>336</v>
      </c>
      <c r="H243" s="20" t="n">
        <v>13.68</v>
      </c>
    </row>
    <row r="244" customFormat="false" ht="15" hidden="false" customHeight="false" outlineLevel="0" collapsed="false">
      <c r="A244" s="22" t="n">
        <v>338</v>
      </c>
      <c r="B244" s="20" t="n">
        <v>13.09</v>
      </c>
      <c r="D244" s="22" t="n">
        <v>338</v>
      </c>
      <c r="E244" s="20" t="n">
        <v>13.86</v>
      </c>
      <c r="G244" s="22" t="n">
        <v>338</v>
      </c>
      <c r="H244" s="20" t="n">
        <v>13.86</v>
      </c>
    </row>
    <row r="245" customFormat="false" ht="15" hidden="false" customHeight="false" outlineLevel="0" collapsed="false">
      <c r="A245" s="22" t="n">
        <v>340</v>
      </c>
      <c r="B245" s="20" t="n">
        <v>13.09</v>
      </c>
      <c r="D245" s="22" t="n">
        <v>340</v>
      </c>
      <c r="E245" s="20" t="n">
        <v>13.86</v>
      </c>
      <c r="G245" s="22" t="n">
        <v>340</v>
      </c>
      <c r="H245" s="20" t="n">
        <v>13.86</v>
      </c>
    </row>
    <row r="246" customFormat="false" ht="15" hidden="false" customHeight="false" outlineLevel="0" collapsed="false">
      <c r="A246" s="22" t="n">
        <v>342</v>
      </c>
      <c r="B246" s="20" t="n">
        <v>13.26</v>
      </c>
      <c r="D246" s="22" t="n">
        <v>342</v>
      </c>
      <c r="E246" s="20" t="n">
        <v>14.04</v>
      </c>
      <c r="G246" s="22" t="n">
        <v>342</v>
      </c>
      <c r="H246" s="20" t="n">
        <v>14.04</v>
      </c>
    </row>
    <row r="247" customFormat="false" ht="15" hidden="false" customHeight="false" outlineLevel="0" collapsed="false">
      <c r="A247" s="22" t="n">
        <v>344</v>
      </c>
      <c r="B247" s="20" t="n">
        <v>13.26</v>
      </c>
      <c r="D247" s="22" t="n">
        <v>344</v>
      </c>
      <c r="E247" s="20" t="n">
        <v>14.04</v>
      </c>
      <c r="G247" s="22" t="n">
        <v>344</v>
      </c>
      <c r="H247" s="20" t="n">
        <v>14.04</v>
      </c>
    </row>
    <row r="248" customFormat="false" ht="15" hidden="false" customHeight="false" outlineLevel="0" collapsed="false">
      <c r="A248" s="22" t="n">
        <v>346</v>
      </c>
      <c r="B248" s="20" t="n">
        <v>13.43</v>
      </c>
      <c r="D248" s="22" t="n">
        <v>346</v>
      </c>
      <c r="E248" s="20" t="n">
        <v>14.22</v>
      </c>
      <c r="G248" s="22" t="n">
        <v>346</v>
      </c>
      <c r="H248" s="20" t="n">
        <v>14.22</v>
      </c>
    </row>
    <row r="249" customFormat="false" ht="15" hidden="false" customHeight="false" outlineLevel="0" collapsed="false">
      <c r="A249" s="22" t="n">
        <v>348</v>
      </c>
      <c r="B249" s="20" t="n">
        <v>13.43</v>
      </c>
      <c r="D249" s="22" t="n">
        <v>348</v>
      </c>
      <c r="E249" s="20" t="n">
        <v>14.22</v>
      </c>
      <c r="G249" s="22" t="n">
        <v>348</v>
      </c>
      <c r="H249" s="20" t="n">
        <v>14.22</v>
      </c>
    </row>
    <row r="250" customFormat="false" ht="15" hidden="false" customHeight="false" outlineLevel="0" collapsed="false">
      <c r="A250" s="22" t="n">
        <v>350</v>
      </c>
      <c r="B250" s="20" t="n">
        <v>13.6</v>
      </c>
      <c r="D250" s="22" t="n">
        <v>350</v>
      </c>
      <c r="E250" s="20" t="n">
        <v>14.4</v>
      </c>
      <c r="G250" s="22" t="n">
        <v>350</v>
      </c>
      <c r="H250" s="20" t="n">
        <v>14.4</v>
      </c>
    </row>
    <row r="251" customFormat="false" ht="17.35" hidden="false" customHeight="false" outlineLevel="0" collapsed="false">
      <c r="A251" s="16" t="s">
        <v>75</v>
      </c>
      <c r="B251" s="16"/>
      <c r="C251" s="16"/>
      <c r="D251" s="16"/>
      <c r="E251" s="16"/>
      <c r="F251" s="16"/>
      <c r="G251" s="16"/>
      <c r="H251" s="16"/>
      <c r="I251" s="16"/>
    </row>
    <row r="253" customFormat="false" ht="15" hidden="false" customHeight="false" outlineLevel="0" collapsed="false">
      <c r="A253" s="26" t="s">
        <v>76</v>
      </c>
      <c r="B253" s="26"/>
      <c r="D253" s="26" t="s">
        <v>77</v>
      </c>
      <c r="E253" s="26"/>
      <c r="G253" s="26" t="s">
        <v>78</v>
      </c>
      <c r="H253" s="26"/>
    </row>
    <row r="254" customFormat="false" ht="22.35" hidden="false" customHeight="true" outlineLevel="0" collapsed="false">
      <c r="A254" s="17" t="s">
        <v>79</v>
      </c>
      <c r="B254" s="17"/>
      <c r="D254" s="17" t="s">
        <v>80</v>
      </c>
      <c r="E254" s="17"/>
      <c r="G254" s="17" t="s">
        <v>80</v>
      </c>
      <c r="H254" s="17"/>
    </row>
    <row r="256" customFormat="false" ht="15" hidden="false" customHeight="false" outlineLevel="0" collapsed="false">
      <c r="A256" s="18" t="s">
        <v>74</v>
      </c>
      <c r="B256" s="18" t="s">
        <v>23</v>
      </c>
      <c r="D256" s="18" t="s">
        <v>74</v>
      </c>
      <c r="E256" s="18" t="s">
        <v>23</v>
      </c>
      <c r="G256" s="18" t="s">
        <v>74</v>
      </c>
      <c r="H256" s="18" t="s">
        <v>23</v>
      </c>
    </row>
    <row r="257" customFormat="false" ht="15" hidden="false" customHeight="false" outlineLevel="0" collapsed="false">
      <c r="A257" s="22" t="n">
        <v>30</v>
      </c>
      <c r="B257" s="20" t="n">
        <v>0</v>
      </c>
      <c r="D257" s="22" t="n">
        <v>30</v>
      </c>
      <c r="E257" s="20" t="n">
        <v>0</v>
      </c>
      <c r="G257" s="22" t="n">
        <v>30</v>
      </c>
      <c r="H257" s="20" t="n">
        <v>0</v>
      </c>
    </row>
    <row r="258" customFormat="false" ht="15" hidden="false" customHeight="false" outlineLevel="0" collapsed="false">
      <c r="A258" s="22" t="n">
        <v>32</v>
      </c>
      <c r="B258" s="20" t="n">
        <v>0</v>
      </c>
      <c r="D258" s="22" t="n">
        <v>32</v>
      </c>
      <c r="E258" s="20" t="n">
        <v>0</v>
      </c>
      <c r="G258" s="22" t="n">
        <v>32</v>
      </c>
      <c r="H258" s="20" t="n">
        <v>0</v>
      </c>
    </row>
    <row r="259" customFormat="false" ht="15" hidden="false" customHeight="false" outlineLevel="0" collapsed="false">
      <c r="A259" s="22" t="n">
        <v>34</v>
      </c>
      <c r="B259" s="20" t="n">
        <v>0.26</v>
      </c>
      <c r="D259" s="22" t="n">
        <v>34</v>
      </c>
      <c r="E259" s="20" t="n">
        <v>0.28</v>
      </c>
      <c r="G259" s="22" t="n">
        <v>34</v>
      </c>
      <c r="H259" s="20" t="n">
        <v>0.28</v>
      </c>
    </row>
    <row r="260" customFormat="false" ht="15" hidden="false" customHeight="false" outlineLevel="0" collapsed="false">
      <c r="A260" s="22" t="n">
        <v>36</v>
      </c>
      <c r="B260" s="20" t="n">
        <v>0.26</v>
      </c>
      <c r="D260" s="22" t="n">
        <v>36</v>
      </c>
      <c r="E260" s="20" t="n">
        <v>0.28</v>
      </c>
      <c r="G260" s="22" t="n">
        <v>36</v>
      </c>
      <c r="H260" s="20" t="n">
        <v>0.28</v>
      </c>
    </row>
    <row r="261" customFormat="false" ht="15" hidden="false" customHeight="false" outlineLevel="0" collapsed="false">
      <c r="A261" s="22" t="n">
        <v>38</v>
      </c>
      <c r="B261" s="20" t="n">
        <v>0.52</v>
      </c>
      <c r="D261" s="22" t="n">
        <v>38</v>
      </c>
      <c r="E261" s="20" t="n">
        <v>0.56</v>
      </c>
      <c r="G261" s="22" t="n">
        <v>38</v>
      </c>
      <c r="H261" s="20" t="n">
        <v>0.56</v>
      </c>
    </row>
    <row r="262" customFormat="false" ht="15" hidden="false" customHeight="false" outlineLevel="0" collapsed="false">
      <c r="A262" s="22" t="n">
        <v>40</v>
      </c>
      <c r="B262" s="20" t="n">
        <v>0.52</v>
      </c>
      <c r="D262" s="22" t="n">
        <v>40</v>
      </c>
      <c r="E262" s="20" t="n">
        <v>0.56</v>
      </c>
      <c r="G262" s="22" t="n">
        <v>40</v>
      </c>
      <c r="H262" s="20" t="n">
        <v>0.56</v>
      </c>
    </row>
    <row r="263" customFormat="false" ht="15" hidden="false" customHeight="false" outlineLevel="0" collapsed="false">
      <c r="A263" s="22" t="n">
        <v>42</v>
      </c>
      <c r="B263" s="20" t="n">
        <v>0.78</v>
      </c>
      <c r="D263" s="22" t="n">
        <v>42</v>
      </c>
      <c r="E263" s="20" t="n">
        <v>0.84</v>
      </c>
      <c r="G263" s="22" t="n">
        <v>42</v>
      </c>
      <c r="H263" s="20" t="n">
        <v>0.84</v>
      </c>
    </row>
    <row r="264" customFormat="false" ht="15" hidden="false" customHeight="false" outlineLevel="0" collapsed="false">
      <c r="A264" s="22" t="n">
        <v>44</v>
      </c>
      <c r="B264" s="20" t="n">
        <v>0.78</v>
      </c>
      <c r="D264" s="22" t="n">
        <v>44</v>
      </c>
      <c r="E264" s="20" t="n">
        <v>0.84</v>
      </c>
      <c r="G264" s="22" t="n">
        <v>44</v>
      </c>
      <c r="H264" s="20" t="n">
        <v>0.84</v>
      </c>
    </row>
    <row r="265" customFormat="false" ht="15" hidden="false" customHeight="false" outlineLevel="0" collapsed="false">
      <c r="A265" s="22" t="n">
        <v>46</v>
      </c>
      <c r="B265" s="20" t="n">
        <v>1.04</v>
      </c>
      <c r="D265" s="22" t="n">
        <v>46</v>
      </c>
      <c r="E265" s="20" t="n">
        <v>1.12</v>
      </c>
      <c r="G265" s="22" t="n">
        <v>46</v>
      </c>
      <c r="H265" s="20" t="n">
        <v>1.12</v>
      </c>
    </row>
    <row r="266" customFormat="false" ht="15" hidden="false" customHeight="false" outlineLevel="0" collapsed="false">
      <c r="A266" s="22" t="n">
        <v>48</v>
      </c>
      <c r="B266" s="20" t="n">
        <v>1.04</v>
      </c>
      <c r="D266" s="22" t="n">
        <v>48</v>
      </c>
      <c r="E266" s="20" t="n">
        <v>1.12</v>
      </c>
      <c r="G266" s="22" t="n">
        <v>48</v>
      </c>
      <c r="H266" s="20" t="n">
        <v>1.12</v>
      </c>
    </row>
    <row r="267" customFormat="false" ht="15" hidden="false" customHeight="false" outlineLevel="0" collapsed="false">
      <c r="A267" s="22" t="n">
        <v>50</v>
      </c>
      <c r="B267" s="20" t="n">
        <v>1.3</v>
      </c>
      <c r="D267" s="22" t="n">
        <v>50</v>
      </c>
      <c r="E267" s="20" t="n">
        <v>1.4</v>
      </c>
      <c r="G267" s="22" t="n">
        <v>50</v>
      </c>
      <c r="H267" s="20" t="n">
        <v>1.4</v>
      </c>
    </row>
    <row r="268" customFormat="false" ht="15" hidden="false" customHeight="false" outlineLevel="0" collapsed="false">
      <c r="A268" s="22" t="n">
        <v>52</v>
      </c>
      <c r="B268" s="20" t="n">
        <v>1.3</v>
      </c>
      <c r="D268" s="22" t="n">
        <v>52</v>
      </c>
      <c r="E268" s="20" t="n">
        <v>1.4</v>
      </c>
      <c r="G268" s="22" t="n">
        <v>52</v>
      </c>
      <c r="H268" s="20" t="n">
        <v>1.4</v>
      </c>
    </row>
    <row r="269" customFormat="false" ht="15" hidden="false" customHeight="false" outlineLevel="0" collapsed="false">
      <c r="A269" s="22" t="n">
        <v>54</v>
      </c>
      <c r="B269" s="20" t="n">
        <v>1.56</v>
      </c>
      <c r="D269" s="22" t="n">
        <v>54</v>
      </c>
      <c r="E269" s="20" t="n">
        <v>1.68</v>
      </c>
      <c r="G269" s="22" t="n">
        <v>54</v>
      </c>
      <c r="H269" s="20" t="n">
        <v>1.68</v>
      </c>
    </row>
    <row r="270" customFormat="false" ht="15" hidden="false" customHeight="false" outlineLevel="0" collapsed="false">
      <c r="A270" s="22" t="n">
        <v>56</v>
      </c>
      <c r="B270" s="20" t="n">
        <v>1.56</v>
      </c>
      <c r="D270" s="22" t="n">
        <v>56</v>
      </c>
      <c r="E270" s="20" t="n">
        <v>1.68</v>
      </c>
      <c r="G270" s="22" t="n">
        <v>56</v>
      </c>
      <c r="H270" s="20" t="n">
        <v>1.68</v>
      </c>
    </row>
    <row r="271" customFormat="false" ht="15" hidden="false" customHeight="false" outlineLevel="0" collapsed="false">
      <c r="A271" s="22" t="n">
        <v>58</v>
      </c>
      <c r="B271" s="20" t="n">
        <v>1.82</v>
      </c>
      <c r="D271" s="22" t="n">
        <v>58</v>
      </c>
      <c r="E271" s="20" t="n">
        <v>1.96</v>
      </c>
      <c r="G271" s="22" t="n">
        <v>58</v>
      </c>
      <c r="H271" s="20" t="n">
        <v>1.96</v>
      </c>
    </row>
    <row r="272" customFormat="false" ht="15" hidden="false" customHeight="false" outlineLevel="0" collapsed="false">
      <c r="A272" s="22" t="n">
        <v>60</v>
      </c>
      <c r="B272" s="20" t="n">
        <v>1.82</v>
      </c>
      <c r="D272" s="22" t="n">
        <v>60</v>
      </c>
      <c r="E272" s="20" t="n">
        <v>1.96</v>
      </c>
      <c r="G272" s="22" t="n">
        <v>60</v>
      </c>
      <c r="H272" s="20" t="n">
        <v>1.96</v>
      </c>
    </row>
    <row r="273" customFormat="false" ht="15" hidden="false" customHeight="false" outlineLevel="0" collapsed="false">
      <c r="A273" s="22" t="n">
        <v>62</v>
      </c>
      <c r="B273" s="20" t="n">
        <v>2.08</v>
      </c>
      <c r="D273" s="22" t="n">
        <v>62</v>
      </c>
      <c r="E273" s="20" t="n">
        <v>2.24</v>
      </c>
      <c r="G273" s="22" t="n">
        <v>62</v>
      </c>
      <c r="H273" s="20" t="n">
        <v>2.24</v>
      </c>
    </row>
    <row r="274" customFormat="false" ht="15" hidden="false" customHeight="false" outlineLevel="0" collapsed="false">
      <c r="A274" s="22" t="n">
        <v>64</v>
      </c>
      <c r="B274" s="20" t="n">
        <v>2.08</v>
      </c>
      <c r="D274" s="22" t="n">
        <v>64</v>
      </c>
      <c r="E274" s="20" t="n">
        <v>2.24</v>
      </c>
      <c r="G274" s="22" t="n">
        <v>64</v>
      </c>
      <c r="H274" s="20" t="n">
        <v>2.24</v>
      </c>
    </row>
    <row r="275" customFormat="false" ht="15" hidden="false" customHeight="false" outlineLevel="0" collapsed="false">
      <c r="A275" s="22" t="n">
        <v>66</v>
      </c>
      <c r="B275" s="20" t="n">
        <v>2.34</v>
      </c>
      <c r="D275" s="22" t="n">
        <v>66</v>
      </c>
      <c r="E275" s="20" t="n">
        <v>2.52</v>
      </c>
      <c r="G275" s="22" t="n">
        <v>66</v>
      </c>
      <c r="H275" s="20" t="n">
        <v>2.52</v>
      </c>
    </row>
    <row r="276" customFormat="false" ht="15" hidden="false" customHeight="false" outlineLevel="0" collapsed="false">
      <c r="A276" s="22" t="n">
        <v>68</v>
      </c>
      <c r="B276" s="20" t="n">
        <v>2.34</v>
      </c>
      <c r="D276" s="22" t="n">
        <v>68</v>
      </c>
      <c r="E276" s="20" t="n">
        <v>2.52</v>
      </c>
      <c r="G276" s="22" t="n">
        <v>68</v>
      </c>
      <c r="H276" s="20" t="n">
        <v>2.52</v>
      </c>
    </row>
    <row r="277" customFormat="false" ht="15" hidden="false" customHeight="false" outlineLevel="0" collapsed="false">
      <c r="A277" s="22" t="n">
        <v>70</v>
      </c>
      <c r="B277" s="20" t="n">
        <v>2.6</v>
      </c>
      <c r="D277" s="22" t="n">
        <v>70</v>
      </c>
      <c r="E277" s="20" t="n">
        <v>2.8</v>
      </c>
      <c r="G277" s="22" t="n">
        <v>70</v>
      </c>
      <c r="H277" s="20" t="n">
        <v>2.8</v>
      </c>
    </row>
    <row r="278" customFormat="false" ht="15" hidden="false" customHeight="false" outlineLevel="0" collapsed="false">
      <c r="A278" s="22" t="n">
        <v>72</v>
      </c>
      <c r="B278" s="20" t="n">
        <v>2.6</v>
      </c>
      <c r="D278" s="22" t="n">
        <v>72</v>
      </c>
      <c r="E278" s="20" t="n">
        <v>2.8</v>
      </c>
      <c r="G278" s="22" t="n">
        <v>72</v>
      </c>
      <c r="H278" s="20" t="n">
        <v>2.8</v>
      </c>
    </row>
    <row r="279" customFormat="false" ht="15" hidden="false" customHeight="false" outlineLevel="0" collapsed="false">
      <c r="A279" s="22" t="n">
        <v>74</v>
      </c>
      <c r="B279" s="20" t="n">
        <v>2.86</v>
      </c>
      <c r="D279" s="22" t="n">
        <v>74</v>
      </c>
      <c r="E279" s="20" t="n">
        <v>3.08</v>
      </c>
      <c r="G279" s="22" t="n">
        <v>74</v>
      </c>
      <c r="H279" s="20" t="n">
        <v>3.08</v>
      </c>
    </row>
    <row r="280" customFormat="false" ht="15" hidden="false" customHeight="false" outlineLevel="0" collapsed="false">
      <c r="A280" s="22" t="n">
        <v>76</v>
      </c>
      <c r="B280" s="20" t="n">
        <v>2.86</v>
      </c>
      <c r="D280" s="22" t="n">
        <v>76</v>
      </c>
      <c r="E280" s="20" t="n">
        <v>3.08</v>
      </c>
      <c r="G280" s="22" t="n">
        <v>76</v>
      </c>
      <c r="H280" s="20" t="n">
        <v>3.08</v>
      </c>
    </row>
    <row r="281" customFormat="false" ht="15" hidden="false" customHeight="false" outlineLevel="0" collapsed="false">
      <c r="A281" s="22" t="n">
        <v>78</v>
      </c>
      <c r="B281" s="20" t="n">
        <v>3.12</v>
      </c>
      <c r="D281" s="22" t="n">
        <v>78</v>
      </c>
      <c r="E281" s="20" t="n">
        <v>3.36</v>
      </c>
      <c r="G281" s="22" t="n">
        <v>78</v>
      </c>
      <c r="H281" s="20" t="n">
        <v>3.36</v>
      </c>
    </row>
    <row r="282" customFormat="false" ht="15" hidden="false" customHeight="false" outlineLevel="0" collapsed="false">
      <c r="A282" s="22" t="n">
        <v>80</v>
      </c>
      <c r="B282" s="20" t="n">
        <v>3.12</v>
      </c>
      <c r="D282" s="22" t="n">
        <v>80</v>
      </c>
      <c r="E282" s="20" t="n">
        <v>3.36</v>
      </c>
      <c r="G282" s="22" t="n">
        <v>80</v>
      </c>
      <c r="H282" s="20" t="n">
        <v>3.36</v>
      </c>
    </row>
    <row r="283" customFormat="false" ht="15" hidden="false" customHeight="false" outlineLevel="0" collapsed="false">
      <c r="A283" s="22" t="n">
        <v>82</v>
      </c>
      <c r="B283" s="20" t="n">
        <v>3.38</v>
      </c>
      <c r="D283" s="22" t="n">
        <v>82</v>
      </c>
      <c r="E283" s="20" t="n">
        <v>3.64</v>
      </c>
      <c r="G283" s="22" t="n">
        <v>82</v>
      </c>
      <c r="H283" s="20" t="n">
        <v>3.64</v>
      </c>
    </row>
    <row r="284" customFormat="false" ht="15" hidden="false" customHeight="false" outlineLevel="0" collapsed="false">
      <c r="A284" s="22" t="n">
        <v>84</v>
      </c>
      <c r="B284" s="20" t="n">
        <v>3.38</v>
      </c>
      <c r="D284" s="22" t="n">
        <v>84</v>
      </c>
      <c r="E284" s="20" t="n">
        <v>3.64</v>
      </c>
      <c r="G284" s="22" t="n">
        <v>84</v>
      </c>
      <c r="H284" s="20" t="n">
        <v>3.64</v>
      </c>
    </row>
    <row r="285" customFormat="false" ht="15" hidden="false" customHeight="false" outlineLevel="0" collapsed="false">
      <c r="A285" s="22" t="n">
        <v>86</v>
      </c>
      <c r="B285" s="20" t="n">
        <v>3.64</v>
      </c>
      <c r="D285" s="22" t="n">
        <v>86</v>
      </c>
      <c r="E285" s="20" t="n">
        <v>3.92</v>
      </c>
      <c r="G285" s="22" t="n">
        <v>86</v>
      </c>
      <c r="H285" s="20" t="n">
        <v>3.92</v>
      </c>
    </row>
    <row r="286" customFormat="false" ht="15" hidden="false" customHeight="false" outlineLevel="0" collapsed="false">
      <c r="A286" s="22" t="n">
        <v>88</v>
      </c>
      <c r="B286" s="20" t="n">
        <v>3.64</v>
      </c>
      <c r="D286" s="22" t="n">
        <v>88</v>
      </c>
      <c r="E286" s="20" t="n">
        <v>3.92</v>
      </c>
      <c r="G286" s="22" t="n">
        <v>88</v>
      </c>
      <c r="H286" s="20" t="n">
        <v>3.92</v>
      </c>
    </row>
    <row r="287" customFormat="false" ht="15" hidden="false" customHeight="false" outlineLevel="0" collapsed="false">
      <c r="A287" s="22" t="n">
        <v>90</v>
      </c>
      <c r="B287" s="20" t="n">
        <v>3.9</v>
      </c>
      <c r="D287" s="22" t="n">
        <v>90</v>
      </c>
      <c r="E287" s="20" t="n">
        <v>4.2</v>
      </c>
      <c r="G287" s="22" t="n">
        <v>90</v>
      </c>
      <c r="H287" s="20" t="n">
        <v>4.2</v>
      </c>
    </row>
    <row r="288" customFormat="false" ht="15" hidden="false" customHeight="false" outlineLevel="0" collapsed="false">
      <c r="A288" s="22" t="n">
        <v>92</v>
      </c>
      <c r="B288" s="20" t="n">
        <v>3.9</v>
      </c>
      <c r="D288" s="22" t="n">
        <v>92</v>
      </c>
      <c r="E288" s="20" t="n">
        <v>4.2</v>
      </c>
      <c r="G288" s="22" t="n">
        <v>92</v>
      </c>
      <c r="H288" s="20" t="n">
        <v>4.2</v>
      </c>
    </row>
    <row r="289" customFormat="false" ht="15" hidden="false" customHeight="false" outlineLevel="0" collapsed="false">
      <c r="A289" s="22" t="n">
        <v>94</v>
      </c>
      <c r="B289" s="20" t="n">
        <v>4.16</v>
      </c>
      <c r="D289" s="22" t="n">
        <v>94</v>
      </c>
      <c r="E289" s="20" t="n">
        <v>4.48</v>
      </c>
      <c r="G289" s="22" t="n">
        <v>94</v>
      </c>
      <c r="H289" s="20" t="n">
        <v>4.48</v>
      </c>
    </row>
    <row r="290" customFormat="false" ht="15" hidden="false" customHeight="false" outlineLevel="0" collapsed="false">
      <c r="A290" s="22" t="n">
        <v>96</v>
      </c>
      <c r="B290" s="20" t="n">
        <v>4.16</v>
      </c>
      <c r="D290" s="22" t="n">
        <v>96</v>
      </c>
      <c r="E290" s="20" t="n">
        <v>4.48</v>
      </c>
      <c r="G290" s="22" t="n">
        <v>96</v>
      </c>
      <c r="H290" s="20" t="n">
        <v>4.48</v>
      </c>
    </row>
    <row r="291" customFormat="false" ht="15" hidden="false" customHeight="false" outlineLevel="0" collapsed="false">
      <c r="A291" s="22" t="n">
        <v>98</v>
      </c>
      <c r="B291" s="20" t="n">
        <v>4.42</v>
      </c>
      <c r="D291" s="22" t="n">
        <v>98</v>
      </c>
      <c r="E291" s="20" t="n">
        <v>4.76</v>
      </c>
      <c r="G291" s="22" t="n">
        <v>98</v>
      </c>
      <c r="H291" s="20" t="n">
        <v>4.76</v>
      </c>
    </row>
    <row r="292" customFormat="false" ht="15" hidden="false" customHeight="false" outlineLevel="0" collapsed="false">
      <c r="A292" s="22" t="n">
        <v>100</v>
      </c>
      <c r="B292" s="20" t="n">
        <v>4.42</v>
      </c>
      <c r="D292" s="22" t="n">
        <v>100</v>
      </c>
      <c r="E292" s="20" t="n">
        <v>4.76</v>
      </c>
      <c r="G292" s="22" t="n">
        <v>100</v>
      </c>
      <c r="H292" s="20" t="n">
        <v>4.76</v>
      </c>
    </row>
    <row r="293" customFormat="false" ht="15" hidden="false" customHeight="false" outlineLevel="0" collapsed="false">
      <c r="A293" s="22" t="n">
        <v>102</v>
      </c>
      <c r="B293" s="20" t="n">
        <v>4.68</v>
      </c>
      <c r="D293" s="22" t="n">
        <v>102</v>
      </c>
      <c r="E293" s="20" t="n">
        <v>5.04</v>
      </c>
      <c r="G293" s="22" t="n">
        <v>102</v>
      </c>
      <c r="H293" s="20" t="n">
        <v>5.04</v>
      </c>
    </row>
    <row r="294" customFormat="false" ht="15" hidden="false" customHeight="false" outlineLevel="0" collapsed="false">
      <c r="A294" s="22" t="n">
        <v>104</v>
      </c>
      <c r="B294" s="20" t="n">
        <v>4.68</v>
      </c>
      <c r="D294" s="22" t="n">
        <v>104</v>
      </c>
      <c r="E294" s="20" t="n">
        <v>5.04</v>
      </c>
      <c r="G294" s="22" t="n">
        <v>104</v>
      </c>
      <c r="H294" s="20" t="n">
        <v>5.04</v>
      </c>
    </row>
    <row r="295" customFormat="false" ht="15" hidden="false" customHeight="false" outlineLevel="0" collapsed="false">
      <c r="A295" s="22" t="n">
        <v>106</v>
      </c>
      <c r="B295" s="20" t="n">
        <v>4.94</v>
      </c>
      <c r="D295" s="22" t="n">
        <v>106</v>
      </c>
      <c r="E295" s="20" t="n">
        <v>5.32</v>
      </c>
      <c r="G295" s="22" t="n">
        <v>106</v>
      </c>
      <c r="H295" s="20" t="n">
        <v>5.32</v>
      </c>
    </row>
    <row r="296" customFormat="false" ht="15" hidden="false" customHeight="false" outlineLevel="0" collapsed="false">
      <c r="A296" s="22" t="n">
        <v>108</v>
      </c>
      <c r="B296" s="20" t="n">
        <v>4.94</v>
      </c>
      <c r="D296" s="22" t="n">
        <v>108</v>
      </c>
      <c r="E296" s="20" t="n">
        <v>5.32</v>
      </c>
      <c r="G296" s="22" t="n">
        <v>108</v>
      </c>
      <c r="H296" s="20" t="n">
        <v>5.32</v>
      </c>
    </row>
    <row r="297" customFormat="false" ht="15" hidden="false" customHeight="false" outlineLevel="0" collapsed="false">
      <c r="A297" s="22" t="n">
        <v>110</v>
      </c>
      <c r="B297" s="20" t="n">
        <v>5.2</v>
      </c>
      <c r="D297" s="22" t="n">
        <v>110</v>
      </c>
      <c r="E297" s="20" t="n">
        <v>5.6</v>
      </c>
      <c r="G297" s="22" t="n">
        <v>110</v>
      </c>
      <c r="H297" s="20" t="n">
        <v>5.6</v>
      </c>
    </row>
    <row r="298" customFormat="false" ht="15" hidden="false" customHeight="false" outlineLevel="0" collapsed="false">
      <c r="A298" s="22" t="n">
        <v>112</v>
      </c>
      <c r="B298" s="20" t="n">
        <v>5.2</v>
      </c>
      <c r="D298" s="22" t="n">
        <v>112</v>
      </c>
      <c r="E298" s="20" t="n">
        <v>5.6</v>
      </c>
      <c r="G298" s="22" t="n">
        <v>112</v>
      </c>
      <c r="H298" s="20" t="n">
        <v>5.6</v>
      </c>
    </row>
    <row r="299" customFormat="false" ht="15" hidden="false" customHeight="false" outlineLevel="0" collapsed="false">
      <c r="A299" s="22" t="n">
        <v>114</v>
      </c>
      <c r="B299" s="20" t="n">
        <v>5.46</v>
      </c>
      <c r="D299" s="22" t="n">
        <v>114</v>
      </c>
      <c r="E299" s="20" t="n">
        <v>5.88</v>
      </c>
      <c r="G299" s="22" t="n">
        <v>114</v>
      </c>
      <c r="H299" s="20" t="n">
        <v>5.88</v>
      </c>
    </row>
    <row r="300" customFormat="false" ht="15" hidden="false" customHeight="false" outlineLevel="0" collapsed="false">
      <c r="A300" s="22" t="n">
        <v>116</v>
      </c>
      <c r="B300" s="20" t="n">
        <v>5.46</v>
      </c>
      <c r="D300" s="22" t="n">
        <v>116</v>
      </c>
      <c r="E300" s="20" t="n">
        <v>5.88</v>
      </c>
      <c r="G300" s="22" t="n">
        <v>116</v>
      </c>
      <c r="H300" s="20" t="n">
        <v>5.88</v>
      </c>
    </row>
    <row r="301" customFormat="false" ht="15" hidden="false" customHeight="false" outlineLevel="0" collapsed="false">
      <c r="A301" s="22" t="n">
        <v>118</v>
      </c>
      <c r="B301" s="20" t="n">
        <v>5.72</v>
      </c>
      <c r="D301" s="22" t="n">
        <v>118</v>
      </c>
      <c r="E301" s="20" t="n">
        <v>6.16</v>
      </c>
      <c r="G301" s="22" t="n">
        <v>118</v>
      </c>
      <c r="H301" s="20" t="n">
        <v>6.16</v>
      </c>
    </row>
    <row r="302" customFormat="false" ht="15" hidden="false" customHeight="false" outlineLevel="0" collapsed="false">
      <c r="A302" s="22" t="n">
        <v>120</v>
      </c>
      <c r="B302" s="20" t="n">
        <v>5.72</v>
      </c>
      <c r="D302" s="22" t="n">
        <v>120</v>
      </c>
      <c r="E302" s="20" t="n">
        <v>6.16</v>
      </c>
      <c r="G302" s="22" t="n">
        <v>120</v>
      </c>
      <c r="H302" s="20" t="n">
        <v>6.16</v>
      </c>
    </row>
    <row r="303" customFormat="false" ht="15" hidden="false" customHeight="false" outlineLevel="0" collapsed="false">
      <c r="A303" s="22" t="n">
        <v>122</v>
      </c>
      <c r="B303" s="20" t="n">
        <v>5.98</v>
      </c>
      <c r="D303" s="22" t="n">
        <v>122</v>
      </c>
      <c r="E303" s="20" t="n">
        <v>6.44</v>
      </c>
      <c r="G303" s="22" t="n">
        <v>122</v>
      </c>
      <c r="H303" s="20" t="n">
        <v>6.44</v>
      </c>
    </row>
    <row r="304" customFormat="false" ht="15" hidden="false" customHeight="false" outlineLevel="0" collapsed="false">
      <c r="A304" s="22" t="n">
        <v>124</v>
      </c>
      <c r="B304" s="20" t="n">
        <v>5.98</v>
      </c>
      <c r="D304" s="22" t="n">
        <v>124</v>
      </c>
      <c r="E304" s="20" t="n">
        <v>6.44</v>
      </c>
      <c r="G304" s="22" t="n">
        <v>124</v>
      </c>
      <c r="H304" s="20" t="n">
        <v>6.44</v>
      </c>
    </row>
    <row r="305" customFormat="false" ht="15" hidden="false" customHeight="false" outlineLevel="0" collapsed="false">
      <c r="A305" s="22" t="n">
        <v>126</v>
      </c>
      <c r="B305" s="20" t="n">
        <v>6.24</v>
      </c>
      <c r="D305" s="22" t="n">
        <v>126</v>
      </c>
      <c r="E305" s="20" t="n">
        <v>6.72</v>
      </c>
      <c r="G305" s="22" t="n">
        <v>126</v>
      </c>
      <c r="H305" s="20" t="n">
        <v>6.72</v>
      </c>
    </row>
    <row r="306" customFormat="false" ht="15" hidden="false" customHeight="false" outlineLevel="0" collapsed="false">
      <c r="A306" s="22" t="n">
        <v>128</v>
      </c>
      <c r="B306" s="20" t="n">
        <v>6.24</v>
      </c>
      <c r="D306" s="22" t="n">
        <v>128</v>
      </c>
      <c r="E306" s="20" t="n">
        <v>6.72</v>
      </c>
      <c r="G306" s="22" t="n">
        <v>128</v>
      </c>
      <c r="H306" s="20" t="n">
        <v>6.72</v>
      </c>
    </row>
    <row r="307" customFormat="false" ht="15" hidden="false" customHeight="false" outlineLevel="0" collapsed="false">
      <c r="A307" s="22" t="n">
        <v>130</v>
      </c>
      <c r="B307" s="20" t="n">
        <v>6.5</v>
      </c>
      <c r="D307" s="22" t="n">
        <v>130</v>
      </c>
      <c r="E307" s="20" t="n">
        <v>7</v>
      </c>
      <c r="G307" s="22" t="n">
        <v>130</v>
      </c>
      <c r="H307" s="20" t="n">
        <v>7</v>
      </c>
    </row>
    <row r="308" customFormat="false" ht="15" hidden="false" customHeight="false" outlineLevel="0" collapsed="false">
      <c r="A308" s="22" t="n">
        <v>132</v>
      </c>
      <c r="B308" s="20" t="n">
        <v>6.5</v>
      </c>
      <c r="D308" s="22" t="n">
        <v>132</v>
      </c>
      <c r="E308" s="20" t="n">
        <v>7</v>
      </c>
      <c r="G308" s="22" t="n">
        <v>132</v>
      </c>
      <c r="H308" s="20" t="n">
        <v>7</v>
      </c>
    </row>
    <row r="309" customFormat="false" ht="15" hidden="false" customHeight="false" outlineLevel="0" collapsed="false">
      <c r="A309" s="22" t="n">
        <v>134</v>
      </c>
      <c r="B309" s="20" t="n">
        <v>6.76</v>
      </c>
      <c r="D309" s="22" t="n">
        <v>134</v>
      </c>
      <c r="E309" s="20" t="n">
        <v>7.28</v>
      </c>
      <c r="G309" s="22" t="n">
        <v>134</v>
      </c>
      <c r="H309" s="20" t="n">
        <v>7.28</v>
      </c>
    </row>
    <row r="310" customFormat="false" ht="15" hidden="false" customHeight="false" outlineLevel="0" collapsed="false">
      <c r="A310" s="22" t="n">
        <v>136</v>
      </c>
      <c r="B310" s="20" t="n">
        <v>6.76</v>
      </c>
      <c r="D310" s="22" t="n">
        <v>136</v>
      </c>
      <c r="E310" s="20" t="n">
        <v>7.28</v>
      </c>
      <c r="G310" s="22" t="n">
        <v>136</v>
      </c>
      <c r="H310" s="20" t="n">
        <v>7.28</v>
      </c>
    </row>
    <row r="311" customFormat="false" ht="15" hidden="false" customHeight="false" outlineLevel="0" collapsed="false">
      <c r="A311" s="22" t="n">
        <v>138</v>
      </c>
      <c r="B311" s="20" t="n">
        <v>7.02</v>
      </c>
      <c r="D311" s="22" t="n">
        <v>138</v>
      </c>
      <c r="E311" s="20" t="n">
        <v>7.56</v>
      </c>
      <c r="G311" s="22" t="n">
        <v>138</v>
      </c>
      <c r="H311" s="20" t="n">
        <v>7.56</v>
      </c>
    </row>
    <row r="312" customFormat="false" ht="15" hidden="false" customHeight="false" outlineLevel="0" collapsed="false">
      <c r="A312" s="22" t="n">
        <v>140</v>
      </c>
      <c r="B312" s="20" t="n">
        <v>7.02</v>
      </c>
      <c r="D312" s="22" t="n">
        <v>140</v>
      </c>
      <c r="E312" s="20" t="n">
        <v>7.56</v>
      </c>
      <c r="G312" s="22" t="n">
        <v>140</v>
      </c>
      <c r="H312" s="20" t="n">
        <v>7.56</v>
      </c>
    </row>
    <row r="313" customFormat="false" ht="15" hidden="false" customHeight="false" outlineLevel="0" collapsed="false">
      <c r="A313" s="22" t="n">
        <v>142</v>
      </c>
      <c r="B313" s="20" t="n">
        <v>7.28</v>
      </c>
      <c r="D313" s="22" t="n">
        <v>142</v>
      </c>
      <c r="E313" s="20" t="n">
        <v>7.84</v>
      </c>
      <c r="G313" s="22" t="n">
        <v>142</v>
      </c>
      <c r="H313" s="20" t="n">
        <v>7.84</v>
      </c>
    </row>
    <row r="314" customFormat="false" ht="15" hidden="false" customHeight="false" outlineLevel="0" collapsed="false">
      <c r="A314" s="22" t="n">
        <v>144</v>
      </c>
      <c r="B314" s="20" t="n">
        <v>7.28</v>
      </c>
      <c r="D314" s="22" t="n">
        <v>144</v>
      </c>
      <c r="E314" s="20" t="n">
        <v>7.84</v>
      </c>
      <c r="G314" s="22" t="n">
        <v>144</v>
      </c>
      <c r="H314" s="20" t="n">
        <v>7.84</v>
      </c>
    </row>
    <row r="315" customFormat="false" ht="15" hidden="false" customHeight="false" outlineLevel="0" collapsed="false">
      <c r="A315" s="22" t="n">
        <v>146</v>
      </c>
      <c r="B315" s="20" t="n">
        <v>7.54</v>
      </c>
      <c r="D315" s="22" t="n">
        <v>146</v>
      </c>
      <c r="E315" s="20" t="n">
        <v>8.12</v>
      </c>
      <c r="G315" s="22" t="n">
        <v>146</v>
      </c>
      <c r="H315" s="20" t="n">
        <v>8.12</v>
      </c>
    </row>
    <row r="316" customFormat="false" ht="15" hidden="false" customHeight="false" outlineLevel="0" collapsed="false">
      <c r="A316" s="22" t="n">
        <v>148</v>
      </c>
      <c r="B316" s="20" t="n">
        <v>7.54</v>
      </c>
      <c r="D316" s="22" t="n">
        <v>148</v>
      </c>
      <c r="E316" s="20" t="n">
        <v>8.12</v>
      </c>
      <c r="G316" s="22" t="n">
        <v>148</v>
      </c>
      <c r="H316" s="20" t="n">
        <v>8.12</v>
      </c>
    </row>
    <row r="317" customFormat="false" ht="15" hidden="false" customHeight="false" outlineLevel="0" collapsed="false">
      <c r="A317" s="22" t="n">
        <v>150</v>
      </c>
      <c r="B317" s="20" t="n">
        <v>7.8</v>
      </c>
      <c r="D317" s="22" t="n">
        <v>150</v>
      </c>
      <c r="E317" s="20" t="n">
        <v>8.4</v>
      </c>
      <c r="G317" s="22" t="n">
        <v>150</v>
      </c>
      <c r="H317" s="20" t="n">
        <v>8.4</v>
      </c>
    </row>
    <row r="318" customFormat="false" ht="15" hidden="false" customHeight="false" outlineLevel="0" collapsed="false">
      <c r="A318" s="22" t="n">
        <v>152</v>
      </c>
      <c r="B318" s="20" t="n">
        <v>7.8</v>
      </c>
      <c r="D318" s="22" t="n">
        <v>152</v>
      </c>
      <c r="E318" s="20" t="n">
        <v>8.4</v>
      </c>
      <c r="G318" s="22" t="n">
        <v>152</v>
      </c>
      <c r="H318" s="20" t="n">
        <v>8.4</v>
      </c>
    </row>
    <row r="319" customFormat="false" ht="15" hidden="false" customHeight="false" outlineLevel="0" collapsed="false">
      <c r="A319" s="22" t="n">
        <v>154</v>
      </c>
      <c r="B319" s="20" t="n">
        <v>8.06</v>
      </c>
      <c r="D319" s="22" t="n">
        <v>154</v>
      </c>
      <c r="E319" s="20" t="n">
        <v>8.68</v>
      </c>
      <c r="G319" s="22" t="n">
        <v>154</v>
      </c>
      <c r="H319" s="20" t="n">
        <v>8.68</v>
      </c>
    </row>
    <row r="320" customFormat="false" ht="15" hidden="false" customHeight="false" outlineLevel="0" collapsed="false">
      <c r="A320" s="22" t="n">
        <v>156</v>
      </c>
      <c r="B320" s="20" t="n">
        <v>8.06</v>
      </c>
      <c r="D320" s="22" t="n">
        <v>156</v>
      </c>
      <c r="E320" s="20" t="n">
        <v>8.68</v>
      </c>
      <c r="G320" s="22" t="n">
        <v>156</v>
      </c>
      <c r="H320" s="20" t="n">
        <v>8.68</v>
      </c>
    </row>
    <row r="321" customFormat="false" ht="15" hidden="false" customHeight="false" outlineLevel="0" collapsed="false">
      <c r="A321" s="22" t="n">
        <v>158</v>
      </c>
      <c r="B321" s="20" t="n">
        <v>8.32</v>
      </c>
      <c r="D321" s="22" t="n">
        <v>158</v>
      </c>
      <c r="E321" s="20" t="n">
        <v>8.96</v>
      </c>
      <c r="G321" s="22" t="n">
        <v>158</v>
      </c>
      <c r="H321" s="20" t="n">
        <v>8.96</v>
      </c>
    </row>
    <row r="322" customFormat="false" ht="15" hidden="false" customHeight="false" outlineLevel="0" collapsed="false">
      <c r="A322" s="22" t="n">
        <v>160</v>
      </c>
      <c r="B322" s="20" t="n">
        <v>8.32</v>
      </c>
      <c r="D322" s="22" t="n">
        <v>160</v>
      </c>
      <c r="E322" s="20" t="n">
        <v>8.96</v>
      </c>
      <c r="G322" s="22" t="n">
        <v>160</v>
      </c>
      <c r="H322" s="20" t="n">
        <v>8.96</v>
      </c>
    </row>
    <row r="323" customFormat="false" ht="15" hidden="false" customHeight="false" outlineLevel="0" collapsed="false">
      <c r="A323" s="22" t="n">
        <v>162</v>
      </c>
      <c r="B323" s="20" t="n">
        <v>8.58</v>
      </c>
      <c r="D323" s="22" t="n">
        <v>162</v>
      </c>
      <c r="E323" s="20" t="n">
        <v>9.24</v>
      </c>
      <c r="G323" s="22" t="n">
        <v>162</v>
      </c>
      <c r="H323" s="20" t="n">
        <v>9.24</v>
      </c>
    </row>
    <row r="324" customFormat="false" ht="15" hidden="false" customHeight="false" outlineLevel="0" collapsed="false">
      <c r="A324" s="22" t="n">
        <v>164</v>
      </c>
      <c r="B324" s="20" t="n">
        <v>8.58</v>
      </c>
      <c r="D324" s="22" t="n">
        <v>164</v>
      </c>
      <c r="E324" s="20" t="n">
        <v>9.24</v>
      </c>
      <c r="G324" s="22" t="n">
        <v>164</v>
      </c>
      <c r="H324" s="20" t="n">
        <v>9.24</v>
      </c>
    </row>
    <row r="325" customFormat="false" ht="15" hidden="false" customHeight="false" outlineLevel="0" collapsed="false">
      <c r="A325" s="22" t="n">
        <v>166</v>
      </c>
      <c r="B325" s="20" t="n">
        <v>8.84</v>
      </c>
      <c r="D325" s="22" t="n">
        <v>166</v>
      </c>
      <c r="E325" s="20" t="n">
        <v>9.52</v>
      </c>
      <c r="G325" s="22" t="n">
        <v>166</v>
      </c>
      <c r="H325" s="20" t="n">
        <v>9.52</v>
      </c>
    </row>
    <row r="326" customFormat="false" ht="15" hidden="false" customHeight="false" outlineLevel="0" collapsed="false">
      <c r="A326" s="22" t="n">
        <v>168</v>
      </c>
      <c r="B326" s="20" t="n">
        <v>8.84</v>
      </c>
      <c r="D326" s="22" t="n">
        <v>168</v>
      </c>
      <c r="E326" s="20" t="n">
        <v>9.52</v>
      </c>
      <c r="G326" s="22" t="n">
        <v>168</v>
      </c>
      <c r="H326" s="20" t="n">
        <v>9.52</v>
      </c>
    </row>
    <row r="327" customFormat="false" ht="15" hidden="false" customHeight="false" outlineLevel="0" collapsed="false">
      <c r="A327" s="22" t="n">
        <v>170</v>
      </c>
      <c r="B327" s="20" t="n">
        <v>9.1</v>
      </c>
      <c r="D327" s="22" t="n">
        <v>170</v>
      </c>
      <c r="E327" s="20" t="n">
        <v>9.8</v>
      </c>
      <c r="G327" s="22" t="n">
        <v>170</v>
      </c>
      <c r="H327" s="20" t="n">
        <v>9.8</v>
      </c>
    </row>
    <row r="328" customFormat="false" ht="15" hidden="false" customHeight="false" outlineLevel="0" collapsed="false">
      <c r="A328" s="22" t="n">
        <v>172</v>
      </c>
      <c r="B328" s="20" t="n">
        <v>9.1</v>
      </c>
      <c r="D328" s="22" t="n">
        <v>172</v>
      </c>
      <c r="E328" s="20" t="n">
        <v>9.8</v>
      </c>
      <c r="G328" s="22" t="n">
        <v>172</v>
      </c>
      <c r="H328" s="20" t="n">
        <v>9.8</v>
      </c>
    </row>
    <row r="329" customFormat="false" ht="15" hidden="false" customHeight="false" outlineLevel="0" collapsed="false">
      <c r="A329" s="22" t="n">
        <v>174</v>
      </c>
      <c r="B329" s="20" t="n">
        <v>9.36</v>
      </c>
      <c r="D329" s="22" t="n">
        <v>174</v>
      </c>
      <c r="E329" s="20" t="n">
        <v>10.08</v>
      </c>
      <c r="G329" s="22" t="n">
        <v>174</v>
      </c>
      <c r="H329" s="20" t="n">
        <v>10.08</v>
      </c>
    </row>
    <row r="330" customFormat="false" ht="15" hidden="false" customHeight="false" outlineLevel="0" collapsed="false">
      <c r="A330" s="22" t="n">
        <v>176</v>
      </c>
      <c r="B330" s="20" t="n">
        <v>9.36</v>
      </c>
      <c r="D330" s="22" t="n">
        <v>176</v>
      </c>
      <c r="E330" s="20" t="n">
        <v>10.08</v>
      </c>
      <c r="G330" s="22" t="n">
        <v>176</v>
      </c>
      <c r="H330" s="20" t="n">
        <v>10.08</v>
      </c>
    </row>
    <row r="331" customFormat="false" ht="15" hidden="false" customHeight="false" outlineLevel="0" collapsed="false">
      <c r="A331" s="22" t="n">
        <v>178</v>
      </c>
      <c r="B331" s="20" t="n">
        <v>9.62</v>
      </c>
      <c r="D331" s="22" t="n">
        <v>178</v>
      </c>
      <c r="E331" s="20" t="n">
        <v>10.36</v>
      </c>
      <c r="G331" s="22" t="n">
        <v>178</v>
      </c>
      <c r="H331" s="20" t="n">
        <v>10.36</v>
      </c>
    </row>
    <row r="332" customFormat="false" ht="15" hidden="false" customHeight="false" outlineLevel="0" collapsed="false">
      <c r="A332" s="22" t="n">
        <v>180</v>
      </c>
      <c r="B332" s="20" t="n">
        <v>9.62</v>
      </c>
      <c r="D332" s="22" t="n">
        <v>180</v>
      </c>
      <c r="E332" s="20" t="n">
        <v>10.36</v>
      </c>
      <c r="G332" s="22" t="n">
        <v>180</v>
      </c>
      <c r="H332" s="20" t="n">
        <v>10.36</v>
      </c>
    </row>
    <row r="333" customFormat="false" ht="15" hidden="false" customHeight="false" outlineLevel="0" collapsed="false">
      <c r="A333" s="22" t="n">
        <v>182</v>
      </c>
      <c r="B333" s="20" t="n">
        <v>9.88</v>
      </c>
      <c r="D333" s="22" t="n">
        <v>182</v>
      </c>
      <c r="E333" s="20" t="n">
        <v>10.64</v>
      </c>
      <c r="G333" s="22" t="n">
        <v>182</v>
      </c>
      <c r="H333" s="20" t="n">
        <v>10.64</v>
      </c>
    </row>
    <row r="334" customFormat="false" ht="15" hidden="false" customHeight="false" outlineLevel="0" collapsed="false">
      <c r="A334" s="22" t="n">
        <v>184</v>
      </c>
      <c r="B334" s="20" t="n">
        <v>9.88</v>
      </c>
      <c r="D334" s="22" t="n">
        <v>184</v>
      </c>
      <c r="E334" s="20" t="n">
        <v>10.64</v>
      </c>
      <c r="G334" s="22" t="n">
        <v>184</v>
      </c>
      <c r="H334" s="20" t="n">
        <v>10.64</v>
      </c>
    </row>
    <row r="335" customFormat="false" ht="15" hidden="false" customHeight="false" outlineLevel="0" collapsed="false">
      <c r="A335" s="22" t="n">
        <v>186</v>
      </c>
      <c r="B335" s="20" t="n">
        <v>10.14</v>
      </c>
      <c r="D335" s="22" t="n">
        <v>186</v>
      </c>
      <c r="E335" s="20" t="n">
        <v>10.92</v>
      </c>
      <c r="G335" s="22" t="n">
        <v>186</v>
      </c>
      <c r="H335" s="20" t="n">
        <v>10.92</v>
      </c>
    </row>
    <row r="336" customFormat="false" ht="15" hidden="false" customHeight="false" outlineLevel="0" collapsed="false">
      <c r="A336" s="22" t="n">
        <v>188</v>
      </c>
      <c r="B336" s="20" t="n">
        <v>10.14</v>
      </c>
      <c r="D336" s="22" t="n">
        <v>188</v>
      </c>
      <c r="E336" s="20" t="n">
        <v>10.92</v>
      </c>
      <c r="G336" s="22" t="n">
        <v>188</v>
      </c>
      <c r="H336" s="20" t="n">
        <v>10.92</v>
      </c>
    </row>
    <row r="337" customFormat="false" ht="15" hidden="false" customHeight="false" outlineLevel="0" collapsed="false">
      <c r="A337" s="22" t="n">
        <v>190</v>
      </c>
      <c r="B337" s="20" t="n">
        <v>10.4</v>
      </c>
      <c r="D337" s="22" t="n">
        <v>190</v>
      </c>
      <c r="E337" s="20" t="n">
        <v>11.2</v>
      </c>
      <c r="G337" s="22" t="n">
        <v>190</v>
      </c>
      <c r="H337" s="20" t="n">
        <v>11.2</v>
      </c>
    </row>
    <row r="338" customFormat="false" ht="15" hidden="false" customHeight="false" outlineLevel="0" collapsed="false">
      <c r="A338" s="22" t="n">
        <v>192</v>
      </c>
      <c r="B338" s="20" t="n">
        <v>10.4</v>
      </c>
      <c r="D338" s="22" t="n">
        <v>192</v>
      </c>
      <c r="E338" s="20" t="n">
        <v>11.2</v>
      </c>
      <c r="G338" s="22" t="n">
        <v>192</v>
      </c>
      <c r="H338" s="20" t="n">
        <v>11.2</v>
      </c>
    </row>
    <row r="339" customFormat="false" ht="15" hidden="false" customHeight="false" outlineLevel="0" collapsed="false">
      <c r="A339" s="22" t="n">
        <v>194</v>
      </c>
      <c r="B339" s="20" t="n">
        <v>10.66</v>
      </c>
      <c r="D339" s="22" t="n">
        <v>194</v>
      </c>
      <c r="E339" s="20" t="n">
        <v>11.48</v>
      </c>
      <c r="G339" s="22" t="n">
        <v>194</v>
      </c>
      <c r="H339" s="20" t="n">
        <v>11.48</v>
      </c>
    </row>
    <row r="340" customFormat="false" ht="15" hidden="false" customHeight="false" outlineLevel="0" collapsed="false">
      <c r="A340" s="22" t="n">
        <v>196</v>
      </c>
      <c r="B340" s="20" t="n">
        <v>10.66</v>
      </c>
      <c r="D340" s="22" t="n">
        <v>196</v>
      </c>
      <c r="E340" s="20" t="n">
        <v>11.48</v>
      </c>
      <c r="G340" s="22" t="n">
        <v>196</v>
      </c>
      <c r="H340" s="20" t="n">
        <v>11.48</v>
      </c>
    </row>
    <row r="341" customFormat="false" ht="15" hidden="false" customHeight="false" outlineLevel="0" collapsed="false">
      <c r="A341" s="22" t="n">
        <v>198</v>
      </c>
      <c r="B341" s="20" t="n">
        <v>10.92</v>
      </c>
      <c r="D341" s="22" t="n">
        <v>198</v>
      </c>
      <c r="E341" s="20" t="n">
        <v>11.76</v>
      </c>
      <c r="G341" s="22" t="n">
        <v>198</v>
      </c>
      <c r="H341" s="20" t="n">
        <v>11.76</v>
      </c>
    </row>
    <row r="342" customFormat="false" ht="15" hidden="false" customHeight="false" outlineLevel="0" collapsed="false">
      <c r="A342" s="22" t="n">
        <v>200</v>
      </c>
      <c r="B342" s="20" t="n">
        <v>10.92</v>
      </c>
      <c r="D342" s="22" t="n">
        <v>200</v>
      </c>
      <c r="E342" s="20" t="n">
        <v>11.76</v>
      </c>
      <c r="G342" s="22" t="n">
        <v>200</v>
      </c>
      <c r="H342" s="20" t="n">
        <v>11.76</v>
      </c>
    </row>
    <row r="343" customFormat="false" ht="15" hidden="false" customHeight="false" outlineLevel="0" collapsed="false">
      <c r="A343" s="22" t="n">
        <v>202</v>
      </c>
      <c r="B343" s="20" t="n">
        <v>11.18</v>
      </c>
      <c r="D343" s="22" t="n">
        <v>202</v>
      </c>
      <c r="E343" s="20" t="n">
        <v>12.04</v>
      </c>
      <c r="G343" s="22" t="n">
        <v>202</v>
      </c>
      <c r="H343" s="20" t="n">
        <v>12.04</v>
      </c>
    </row>
    <row r="344" customFormat="false" ht="15" hidden="false" customHeight="false" outlineLevel="0" collapsed="false">
      <c r="A344" s="22" t="n">
        <v>204</v>
      </c>
      <c r="B344" s="20" t="n">
        <v>11.18</v>
      </c>
      <c r="D344" s="22" t="n">
        <v>204</v>
      </c>
      <c r="E344" s="20" t="n">
        <v>12.04</v>
      </c>
      <c r="G344" s="22" t="n">
        <v>204</v>
      </c>
      <c r="H344" s="20" t="n">
        <v>12.04</v>
      </c>
    </row>
    <row r="345" customFormat="false" ht="15" hidden="false" customHeight="false" outlineLevel="0" collapsed="false">
      <c r="A345" s="22" t="n">
        <v>206</v>
      </c>
      <c r="B345" s="20" t="n">
        <v>11.44</v>
      </c>
      <c r="D345" s="22" t="n">
        <v>206</v>
      </c>
      <c r="E345" s="20" t="n">
        <v>12.32</v>
      </c>
      <c r="G345" s="22" t="n">
        <v>206</v>
      </c>
      <c r="H345" s="20" t="n">
        <v>12.32</v>
      </c>
    </row>
    <row r="346" customFormat="false" ht="15" hidden="false" customHeight="false" outlineLevel="0" collapsed="false">
      <c r="A346" s="22" t="n">
        <v>208</v>
      </c>
      <c r="B346" s="20" t="n">
        <v>11.44</v>
      </c>
      <c r="D346" s="22" t="n">
        <v>208</v>
      </c>
      <c r="E346" s="20" t="n">
        <v>12.32</v>
      </c>
      <c r="G346" s="22" t="n">
        <v>208</v>
      </c>
      <c r="H346" s="20" t="n">
        <v>12.32</v>
      </c>
    </row>
    <row r="347" customFormat="false" ht="15" hidden="false" customHeight="false" outlineLevel="0" collapsed="false">
      <c r="A347" s="22" t="n">
        <v>210</v>
      </c>
      <c r="B347" s="20" t="n">
        <v>11.7</v>
      </c>
      <c r="D347" s="22" t="n">
        <v>210</v>
      </c>
      <c r="E347" s="20" t="n">
        <v>12.6</v>
      </c>
      <c r="G347" s="22" t="n">
        <v>210</v>
      </c>
      <c r="H347" s="20" t="n">
        <v>12.6</v>
      </c>
    </row>
    <row r="348" customFormat="false" ht="15" hidden="false" customHeight="false" outlineLevel="0" collapsed="false">
      <c r="A348" s="22" t="n">
        <v>212</v>
      </c>
      <c r="B348" s="20" t="n">
        <v>11.7</v>
      </c>
      <c r="D348" s="22" t="n">
        <v>212</v>
      </c>
      <c r="E348" s="20" t="n">
        <v>12.6</v>
      </c>
      <c r="G348" s="22" t="n">
        <v>212</v>
      </c>
      <c r="H348" s="20" t="n">
        <v>12.6</v>
      </c>
    </row>
    <row r="349" customFormat="false" ht="15" hidden="false" customHeight="false" outlineLevel="0" collapsed="false">
      <c r="A349" s="22" t="n">
        <v>214</v>
      </c>
      <c r="B349" s="20" t="n">
        <v>11.96</v>
      </c>
      <c r="D349" s="22" t="n">
        <v>214</v>
      </c>
      <c r="E349" s="20" t="n">
        <v>12.88</v>
      </c>
      <c r="G349" s="22" t="n">
        <v>214</v>
      </c>
      <c r="H349" s="20" t="n">
        <v>12.88</v>
      </c>
    </row>
    <row r="350" customFormat="false" ht="15" hidden="false" customHeight="false" outlineLevel="0" collapsed="false">
      <c r="A350" s="22" t="n">
        <v>216</v>
      </c>
      <c r="B350" s="20" t="n">
        <v>11.96</v>
      </c>
      <c r="D350" s="22" t="n">
        <v>216</v>
      </c>
      <c r="E350" s="20" t="n">
        <v>12.88</v>
      </c>
      <c r="G350" s="22" t="n">
        <v>216</v>
      </c>
      <c r="H350" s="20" t="n">
        <v>12.88</v>
      </c>
    </row>
    <row r="351" customFormat="false" ht="15" hidden="false" customHeight="false" outlineLevel="0" collapsed="false">
      <c r="A351" s="22" t="n">
        <v>218</v>
      </c>
      <c r="B351" s="20" t="n">
        <v>12.22</v>
      </c>
      <c r="D351" s="22" t="n">
        <v>218</v>
      </c>
      <c r="E351" s="20" t="n">
        <v>13.16</v>
      </c>
      <c r="G351" s="22" t="n">
        <v>218</v>
      </c>
      <c r="H351" s="20" t="n">
        <v>13.16</v>
      </c>
    </row>
    <row r="352" customFormat="false" ht="15" hidden="false" customHeight="false" outlineLevel="0" collapsed="false">
      <c r="A352" s="22" t="n">
        <v>220</v>
      </c>
      <c r="B352" s="20" t="n">
        <v>12.22</v>
      </c>
      <c r="D352" s="22" t="n">
        <v>220</v>
      </c>
      <c r="E352" s="20" t="n">
        <v>13.16</v>
      </c>
      <c r="G352" s="22" t="n">
        <v>220</v>
      </c>
      <c r="H352" s="20" t="n">
        <v>13.16</v>
      </c>
    </row>
    <row r="353" customFormat="false" ht="15" hidden="false" customHeight="false" outlineLevel="0" collapsed="false">
      <c r="A353" s="22" t="n">
        <v>222</v>
      </c>
      <c r="B353" s="20" t="n">
        <v>12.48</v>
      </c>
      <c r="D353" s="22" t="n">
        <v>222</v>
      </c>
      <c r="E353" s="20" t="n">
        <v>13.44</v>
      </c>
      <c r="G353" s="22" t="n">
        <v>222</v>
      </c>
      <c r="H353" s="20" t="n">
        <v>13.44</v>
      </c>
    </row>
    <row r="354" customFormat="false" ht="15" hidden="false" customHeight="false" outlineLevel="0" collapsed="false">
      <c r="A354" s="22" t="n">
        <v>224</v>
      </c>
      <c r="B354" s="20" t="n">
        <v>12.48</v>
      </c>
      <c r="D354" s="22" t="n">
        <v>224</v>
      </c>
      <c r="E354" s="20" t="n">
        <v>13.44</v>
      </c>
      <c r="G354" s="22" t="n">
        <v>224</v>
      </c>
      <c r="H354" s="20" t="n">
        <v>13.44</v>
      </c>
    </row>
    <row r="355" customFormat="false" ht="15" hidden="false" customHeight="false" outlineLevel="0" collapsed="false">
      <c r="A355" s="22" t="n">
        <v>226</v>
      </c>
      <c r="B355" s="20" t="n">
        <v>12.74</v>
      </c>
      <c r="D355" s="22" t="n">
        <v>226</v>
      </c>
      <c r="E355" s="20" t="n">
        <v>13.72</v>
      </c>
      <c r="G355" s="22" t="n">
        <v>226</v>
      </c>
      <c r="H355" s="20" t="n">
        <v>13.72</v>
      </c>
    </row>
    <row r="356" customFormat="false" ht="15" hidden="false" customHeight="false" outlineLevel="0" collapsed="false">
      <c r="A356" s="22" t="n">
        <v>228</v>
      </c>
      <c r="B356" s="20" t="n">
        <v>12.74</v>
      </c>
      <c r="D356" s="22" t="n">
        <v>228</v>
      </c>
      <c r="E356" s="20" t="n">
        <v>13.72</v>
      </c>
      <c r="G356" s="22" t="n">
        <v>228</v>
      </c>
      <c r="H356" s="20" t="n">
        <v>13.72</v>
      </c>
    </row>
    <row r="357" customFormat="false" ht="15" hidden="false" customHeight="false" outlineLevel="0" collapsed="false">
      <c r="A357" s="22" t="n">
        <v>230</v>
      </c>
      <c r="B357" s="20" t="n">
        <v>13</v>
      </c>
      <c r="D357" s="22" t="n">
        <v>230</v>
      </c>
      <c r="E357" s="20" t="n">
        <v>14</v>
      </c>
      <c r="G357" s="22" t="n">
        <v>230</v>
      </c>
      <c r="H357" s="20" t="n">
        <v>14</v>
      </c>
    </row>
    <row r="358" customFormat="false" ht="15" hidden="false" customHeight="false" outlineLevel="0" collapsed="false">
      <c r="A358" s="22" t="n">
        <v>232</v>
      </c>
      <c r="B358" s="20" t="n">
        <v>13</v>
      </c>
      <c r="D358" s="22" t="n">
        <v>232</v>
      </c>
      <c r="E358" s="20" t="n">
        <v>14</v>
      </c>
      <c r="G358" s="22" t="n">
        <v>232</v>
      </c>
      <c r="H358" s="20" t="n">
        <v>14</v>
      </c>
    </row>
    <row r="359" customFormat="false" ht="15" hidden="false" customHeight="false" outlineLevel="0" collapsed="false">
      <c r="A359" s="22" t="n">
        <v>234</v>
      </c>
      <c r="B359" s="20" t="n">
        <v>13.26</v>
      </c>
      <c r="D359" s="22" t="n">
        <v>234</v>
      </c>
      <c r="E359" s="20" t="n">
        <v>14.28</v>
      </c>
      <c r="G359" s="22" t="n">
        <v>234</v>
      </c>
      <c r="H359" s="20" t="n">
        <v>14.28</v>
      </c>
    </row>
    <row r="360" customFormat="false" ht="15" hidden="false" customHeight="false" outlineLevel="0" collapsed="false">
      <c r="A360" s="22" t="n">
        <v>236</v>
      </c>
      <c r="B360" s="20" t="n">
        <v>13.26</v>
      </c>
      <c r="D360" s="22" t="n">
        <v>236</v>
      </c>
      <c r="E360" s="20" t="n">
        <v>14.28</v>
      </c>
      <c r="G360" s="22" t="n">
        <v>236</v>
      </c>
      <c r="H360" s="20" t="n">
        <v>14.28</v>
      </c>
    </row>
    <row r="361" customFormat="false" ht="15" hidden="false" customHeight="false" outlineLevel="0" collapsed="false">
      <c r="A361" s="22" t="n">
        <v>238</v>
      </c>
      <c r="B361" s="20" t="n">
        <v>13.52</v>
      </c>
      <c r="D361" s="22" t="n">
        <v>238</v>
      </c>
      <c r="E361" s="20" t="n">
        <v>14.56</v>
      </c>
      <c r="G361" s="22" t="n">
        <v>238</v>
      </c>
      <c r="H361" s="20" t="n">
        <v>14.56</v>
      </c>
    </row>
    <row r="362" customFormat="false" ht="15" hidden="false" customHeight="false" outlineLevel="0" collapsed="false">
      <c r="A362" s="22" t="n">
        <v>240</v>
      </c>
      <c r="B362" s="20" t="n">
        <v>13.52</v>
      </c>
      <c r="D362" s="22" t="n">
        <v>240</v>
      </c>
      <c r="E362" s="20" t="n">
        <v>14.56</v>
      </c>
      <c r="G362" s="22" t="n">
        <v>240</v>
      </c>
      <c r="H362" s="20" t="n">
        <v>14.56</v>
      </c>
    </row>
    <row r="363" customFormat="false" ht="15" hidden="false" customHeight="false" outlineLevel="0" collapsed="false">
      <c r="A363" s="22" t="n">
        <v>242</v>
      </c>
      <c r="B363" s="20" t="n">
        <v>13.78</v>
      </c>
      <c r="D363" s="22" t="n">
        <v>242</v>
      </c>
      <c r="E363" s="20" t="n">
        <v>14.84</v>
      </c>
      <c r="G363" s="22" t="n">
        <v>242</v>
      </c>
      <c r="H363" s="20" t="n">
        <v>14.84</v>
      </c>
    </row>
    <row r="364" customFormat="false" ht="15" hidden="false" customHeight="false" outlineLevel="0" collapsed="false">
      <c r="A364" s="22" t="n">
        <v>244</v>
      </c>
      <c r="B364" s="20" t="n">
        <v>13.78</v>
      </c>
      <c r="D364" s="22" t="n">
        <v>244</v>
      </c>
      <c r="E364" s="20" t="n">
        <v>14.84</v>
      </c>
      <c r="G364" s="22" t="n">
        <v>244</v>
      </c>
      <c r="H364" s="20" t="n">
        <v>14.84</v>
      </c>
    </row>
    <row r="365" customFormat="false" ht="15" hidden="false" customHeight="false" outlineLevel="0" collapsed="false">
      <c r="A365" s="22" t="n">
        <v>246</v>
      </c>
      <c r="B365" s="20" t="n">
        <v>14.04</v>
      </c>
      <c r="D365" s="22" t="n">
        <v>246</v>
      </c>
      <c r="E365" s="20" t="n">
        <v>15.12</v>
      </c>
      <c r="G365" s="22" t="n">
        <v>246</v>
      </c>
      <c r="H365" s="20" t="n">
        <v>15.12</v>
      </c>
    </row>
    <row r="366" customFormat="false" ht="15" hidden="false" customHeight="false" outlineLevel="0" collapsed="false">
      <c r="A366" s="22" t="n">
        <v>248</v>
      </c>
      <c r="B366" s="20" t="n">
        <v>14.04</v>
      </c>
      <c r="D366" s="22" t="n">
        <v>248</v>
      </c>
      <c r="E366" s="20" t="n">
        <v>15.12</v>
      </c>
      <c r="G366" s="22" t="n">
        <v>248</v>
      </c>
      <c r="H366" s="20" t="n">
        <v>15.12</v>
      </c>
    </row>
    <row r="367" customFormat="false" ht="15" hidden="false" customHeight="false" outlineLevel="0" collapsed="false">
      <c r="A367" s="22" t="n">
        <v>250</v>
      </c>
      <c r="B367" s="20" t="n">
        <v>14.3</v>
      </c>
      <c r="D367" s="22" t="n">
        <v>250</v>
      </c>
      <c r="E367" s="20" t="n">
        <v>15.4</v>
      </c>
      <c r="G367" s="22" t="n">
        <v>250</v>
      </c>
      <c r="H367" s="20" t="n">
        <v>15.4</v>
      </c>
    </row>
    <row r="368" customFormat="false" ht="15" hidden="false" customHeight="false" outlineLevel="0" collapsed="false">
      <c r="A368" s="22" t="n">
        <v>252</v>
      </c>
      <c r="B368" s="20" t="n">
        <v>14.3</v>
      </c>
      <c r="D368" s="22" t="n">
        <v>252</v>
      </c>
      <c r="E368" s="20" t="n">
        <v>15.4</v>
      </c>
      <c r="G368" s="22" t="n">
        <v>252</v>
      </c>
      <c r="H368" s="20" t="n">
        <v>15.4</v>
      </c>
    </row>
    <row r="369" customFormat="false" ht="15" hidden="false" customHeight="false" outlineLevel="0" collapsed="false">
      <c r="A369" s="22" t="n">
        <v>254</v>
      </c>
      <c r="B369" s="20" t="n">
        <v>14.56</v>
      </c>
      <c r="D369" s="22" t="n">
        <v>254</v>
      </c>
      <c r="E369" s="20" t="n">
        <v>15.68</v>
      </c>
      <c r="G369" s="22" t="n">
        <v>254</v>
      </c>
      <c r="H369" s="20" t="n">
        <v>15.68</v>
      </c>
    </row>
    <row r="370" customFormat="false" ht="15" hidden="false" customHeight="false" outlineLevel="0" collapsed="false">
      <c r="A370" s="22" t="n">
        <v>256</v>
      </c>
      <c r="B370" s="20" t="n">
        <v>14.56</v>
      </c>
      <c r="D370" s="22" t="n">
        <v>256</v>
      </c>
      <c r="E370" s="20" t="n">
        <v>15.68</v>
      </c>
      <c r="G370" s="22" t="n">
        <v>256</v>
      </c>
      <c r="H370" s="20" t="n">
        <v>15.68</v>
      </c>
    </row>
    <row r="371" customFormat="false" ht="15" hidden="false" customHeight="false" outlineLevel="0" collapsed="false">
      <c r="A371" s="22" t="n">
        <v>258</v>
      </c>
      <c r="B371" s="20" t="n">
        <v>14.82</v>
      </c>
      <c r="D371" s="22" t="n">
        <v>258</v>
      </c>
      <c r="E371" s="20" t="n">
        <v>15.96</v>
      </c>
      <c r="G371" s="22" t="n">
        <v>258</v>
      </c>
      <c r="H371" s="20" t="n">
        <v>15.96</v>
      </c>
    </row>
    <row r="372" customFormat="false" ht="15" hidden="false" customHeight="false" outlineLevel="0" collapsed="false">
      <c r="A372" s="22" t="n">
        <v>260</v>
      </c>
      <c r="B372" s="20" t="n">
        <v>14.82</v>
      </c>
      <c r="D372" s="22" t="n">
        <v>260</v>
      </c>
      <c r="E372" s="20" t="n">
        <v>15.96</v>
      </c>
      <c r="G372" s="22" t="n">
        <v>260</v>
      </c>
      <c r="H372" s="20" t="n">
        <v>15.96</v>
      </c>
    </row>
    <row r="373" customFormat="false" ht="15" hidden="false" customHeight="false" outlineLevel="0" collapsed="false">
      <c r="A373" s="22" t="n">
        <v>262</v>
      </c>
      <c r="B373" s="20" t="n">
        <v>15.08</v>
      </c>
      <c r="D373" s="22" t="n">
        <v>262</v>
      </c>
      <c r="E373" s="20" t="n">
        <v>16.24</v>
      </c>
      <c r="G373" s="22" t="n">
        <v>262</v>
      </c>
      <c r="H373" s="20" t="n">
        <v>16.24</v>
      </c>
    </row>
    <row r="374" customFormat="false" ht="15" hidden="false" customHeight="false" outlineLevel="0" collapsed="false">
      <c r="A374" s="22" t="n">
        <v>264</v>
      </c>
      <c r="B374" s="20" t="n">
        <v>15.08</v>
      </c>
      <c r="D374" s="22" t="n">
        <v>264</v>
      </c>
      <c r="E374" s="20" t="n">
        <v>16.24</v>
      </c>
      <c r="G374" s="22" t="n">
        <v>264</v>
      </c>
      <c r="H374" s="20" t="n">
        <v>16.24</v>
      </c>
    </row>
    <row r="375" customFormat="false" ht="15" hidden="false" customHeight="false" outlineLevel="0" collapsed="false">
      <c r="A375" s="22" t="n">
        <v>266</v>
      </c>
      <c r="B375" s="20" t="n">
        <v>15.34</v>
      </c>
      <c r="D375" s="22" t="n">
        <v>266</v>
      </c>
      <c r="E375" s="20" t="n">
        <v>16.52</v>
      </c>
      <c r="G375" s="22" t="n">
        <v>266</v>
      </c>
      <c r="H375" s="20" t="n">
        <v>16.52</v>
      </c>
    </row>
    <row r="376" customFormat="false" ht="15" hidden="false" customHeight="false" outlineLevel="0" collapsed="false">
      <c r="A376" s="22" t="n">
        <v>268</v>
      </c>
      <c r="B376" s="20" t="n">
        <v>15.34</v>
      </c>
      <c r="D376" s="22" t="n">
        <v>268</v>
      </c>
      <c r="E376" s="20" t="n">
        <v>16.52</v>
      </c>
      <c r="G376" s="22" t="n">
        <v>268</v>
      </c>
      <c r="H376" s="20" t="n">
        <v>16.52</v>
      </c>
    </row>
    <row r="377" customFormat="false" ht="15" hidden="false" customHeight="false" outlineLevel="0" collapsed="false">
      <c r="A377" s="22" t="n">
        <v>270</v>
      </c>
      <c r="B377" s="20" t="n">
        <v>15.6</v>
      </c>
      <c r="D377" s="22" t="n">
        <v>270</v>
      </c>
      <c r="E377" s="20" t="n">
        <v>16.8</v>
      </c>
      <c r="G377" s="22" t="n">
        <v>270</v>
      </c>
      <c r="H377" s="20" t="n">
        <v>16.8</v>
      </c>
    </row>
    <row r="378" customFormat="false" ht="15" hidden="false" customHeight="false" outlineLevel="0" collapsed="false">
      <c r="A378" s="22" t="n">
        <v>272</v>
      </c>
      <c r="B378" s="20" t="n">
        <v>15.6</v>
      </c>
      <c r="D378" s="22" t="n">
        <v>272</v>
      </c>
      <c r="E378" s="20" t="n">
        <v>16.8</v>
      </c>
      <c r="G378" s="22" t="n">
        <v>272</v>
      </c>
      <c r="H378" s="20" t="n">
        <v>16.8</v>
      </c>
    </row>
    <row r="379" customFormat="false" ht="15" hidden="false" customHeight="false" outlineLevel="0" collapsed="false">
      <c r="A379" s="22" t="n">
        <v>274</v>
      </c>
      <c r="B379" s="20" t="n">
        <v>15.86</v>
      </c>
      <c r="D379" s="22" t="n">
        <v>274</v>
      </c>
      <c r="E379" s="20" t="n">
        <v>17.08</v>
      </c>
      <c r="G379" s="22" t="n">
        <v>274</v>
      </c>
      <c r="H379" s="20" t="n">
        <v>17.08</v>
      </c>
    </row>
    <row r="380" customFormat="false" ht="15" hidden="false" customHeight="false" outlineLevel="0" collapsed="false">
      <c r="A380" s="22" t="n">
        <v>276</v>
      </c>
      <c r="B380" s="20" t="n">
        <v>15.86</v>
      </c>
      <c r="D380" s="22" t="n">
        <v>276</v>
      </c>
      <c r="E380" s="20" t="n">
        <v>17.08</v>
      </c>
      <c r="G380" s="22" t="n">
        <v>276</v>
      </c>
      <c r="H380" s="20" t="n">
        <v>17.08</v>
      </c>
    </row>
    <row r="381" customFormat="false" ht="15" hidden="false" customHeight="false" outlineLevel="0" collapsed="false">
      <c r="A381" s="22" t="n">
        <v>278</v>
      </c>
      <c r="B381" s="20" t="n">
        <v>16.12</v>
      </c>
      <c r="D381" s="22" t="n">
        <v>278</v>
      </c>
      <c r="E381" s="20" t="n">
        <v>17.36</v>
      </c>
      <c r="G381" s="22" t="n">
        <v>278</v>
      </c>
      <c r="H381" s="20" t="n">
        <v>17.36</v>
      </c>
    </row>
    <row r="382" customFormat="false" ht="15" hidden="false" customHeight="false" outlineLevel="0" collapsed="false">
      <c r="A382" s="22" t="n">
        <v>280</v>
      </c>
      <c r="B382" s="20" t="n">
        <v>16.12</v>
      </c>
      <c r="D382" s="22" t="n">
        <v>280</v>
      </c>
      <c r="E382" s="20" t="n">
        <v>17.36</v>
      </c>
      <c r="G382" s="22" t="n">
        <v>280</v>
      </c>
      <c r="H382" s="20" t="n">
        <v>17.36</v>
      </c>
    </row>
    <row r="383" customFormat="false" ht="15" hidden="false" customHeight="false" outlineLevel="0" collapsed="false">
      <c r="A383" s="22" t="n">
        <v>282</v>
      </c>
      <c r="B383" s="20" t="n">
        <v>16.38</v>
      </c>
      <c r="D383" s="22" t="n">
        <v>282</v>
      </c>
      <c r="E383" s="20" t="n">
        <v>17.64</v>
      </c>
      <c r="G383" s="22" t="n">
        <v>282</v>
      </c>
      <c r="H383" s="20" t="n">
        <v>17.64</v>
      </c>
    </row>
    <row r="384" customFormat="false" ht="15" hidden="false" customHeight="false" outlineLevel="0" collapsed="false">
      <c r="A384" s="22" t="n">
        <v>284</v>
      </c>
      <c r="B384" s="20" t="n">
        <v>16.38</v>
      </c>
      <c r="D384" s="22" t="n">
        <v>284</v>
      </c>
      <c r="E384" s="20" t="n">
        <v>17.64</v>
      </c>
      <c r="G384" s="22" t="n">
        <v>284</v>
      </c>
      <c r="H384" s="20" t="n">
        <v>17.64</v>
      </c>
    </row>
    <row r="385" customFormat="false" ht="15" hidden="false" customHeight="false" outlineLevel="0" collapsed="false">
      <c r="A385" s="22" t="n">
        <v>286</v>
      </c>
      <c r="B385" s="20" t="n">
        <v>16.64</v>
      </c>
      <c r="D385" s="22" t="n">
        <v>286</v>
      </c>
      <c r="E385" s="20" t="n">
        <v>17.92</v>
      </c>
      <c r="G385" s="22" t="n">
        <v>286</v>
      </c>
      <c r="H385" s="20" t="n">
        <v>17.92</v>
      </c>
    </row>
    <row r="386" customFormat="false" ht="15" hidden="false" customHeight="false" outlineLevel="0" collapsed="false">
      <c r="A386" s="22" t="n">
        <v>288</v>
      </c>
      <c r="B386" s="20" t="n">
        <v>16.64</v>
      </c>
      <c r="D386" s="22" t="n">
        <v>288</v>
      </c>
      <c r="E386" s="20" t="n">
        <v>17.92</v>
      </c>
      <c r="G386" s="22" t="n">
        <v>288</v>
      </c>
      <c r="H386" s="20" t="n">
        <v>17.92</v>
      </c>
    </row>
    <row r="387" customFormat="false" ht="15" hidden="false" customHeight="false" outlineLevel="0" collapsed="false">
      <c r="A387" s="22" t="n">
        <v>290</v>
      </c>
      <c r="B387" s="20" t="n">
        <v>16.9</v>
      </c>
      <c r="D387" s="22" t="n">
        <v>290</v>
      </c>
      <c r="E387" s="20" t="n">
        <v>18.2</v>
      </c>
      <c r="G387" s="22" t="n">
        <v>290</v>
      </c>
      <c r="H387" s="20" t="n">
        <v>18.2</v>
      </c>
    </row>
    <row r="388" customFormat="false" ht="15" hidden="false" customHeight="false" outlineLevel="0" collapsed="false">
      <c r="A388" s="22" t="n">
        <v>292</v>
      </c>
      <c r="B388" s="20" t="n">
        <v>16.9</v>
      </c>
      <c r="D388" s="22" t="n">
        <v>292</v>
      </c>
      <c r="E388" s="20" t="n">
        <v>18.2</v>
      </c>
      <c r="G388" s="22" t="n">
        <v>292</v>
      </c>
      <c r="H388" s="20" t="n">
        <v>18.2</v>
      </c>
    </row>
    <row r="389" customFormat="false" ht="15" hidden="false" customHeight="false" outlineLevel="0" collapsed="false">
      <c r="A389" s="22" t="n">
        <v>294</v>
      </c>
      <c r="B389" s="20" t="n">
        <v>17.16</v>
      </c>
      <c r="D389" s="22" t="n">
        <v>294</v>
      </c>
      <c r="E389" s="20" t="n">
        <v>18.48</v>
      </c>
      <c r="G389" s="22" t="n">
        <v>294</v>
      </c>
      <c r="H389" s="20" t="n">
        <v>18.48</v>
      </c>
    </row>
    <row r="390" customFormat="false" ht="15" hidden="false" customHeight="false" outlineLevel="0" collapsed="false">
      <c r="A390" s="22" t="n">
        <v>296</v>
      </c>
      <c r="B390" s="20" t="n">
        <v>17.16</v>
      </c>
      <c r="D390" s="22" t="n">
        <v>296</v>
      </c>
      <c r="E390" s="20" t="n">
        <v>18.48</v>
      </c>
      <c r="G390" s="22" t="n">
        <v>296</v>
      </c>
      <c r="H390" s="20" t="n">
        <v>18.48</v>
      </c>
    </row>
    <row r="391" customFormat="false" ht="15" hidden="false" customHeight="false" outlineLevel="0" collapsed="false">
      <c r="A391" s="22" t="n">
        <v>298</v>
      </c>
      <c r="B391" s="20" t="n">
        <v>17.42</v>
      </c>
      <c r="D391" s="22" t="n">
        <v>298</v>
      </c>
      <c r="E391" s="20" t="n">
        <v>18.76</v>
      </c>
      <c r="G391" s="22" t="n">
        <v>298</v>
      </c>
      <c r="H391" s="20" t="n">
        <v>18.76</v>
      </c>
    </row>
    <row r="392" customFormat="false" ht="15" hidden="false" customHeight="false" outlineLevel="0" collapsed="false">
      <c r="A392" s="22" t="n">
        <v>300</v>
      </c>
      <c r="B392" s="20" t="n">
        <v>17.42</v>
      </c>
      <c r="D392" s="22" t="n">
        <v>300</v>
      </c>
      <c r="E392" s="20" t="n">
        <v>18.76</v>
      </c>
      <c r="G392" s="22" t="n">
        <v>300</v>
      </c>
      <c r="H392" s="20" t="n">
        <v>18.76</v>
      </c>
    </row>
    <row r="393" customFormat="false" ht="15" hidden="false" customHeight="false" outlineLevel="0" collapsed="false">
      <c r="A393" s="22" t="n">
        <v>302</v>
      </c>
      <c r="B393" s="20" t="n">
        <v>17.68</v>
      </c>
      <c r="D393" s="22" t="n">
        <v>302</v>
      </c>
      <c r="E393" s="20" t="n">
        <v>19.04</v>
      </c>
      <c r="G393" s="22" t="n">
        <v>302</v>
      </c>
      <c r="H393" s="20" t="n">
        <v>19.04</v>
      </c>
    </row>
    <row r="394" customFormat="false" ht="15" hidden="false" customHeight="false" outlineLevel="0" collapsed="false">
      <c r="A394" s="22" t="n">
        <v>304</v>
      </c>
      <c r="B394" s="20" t="n">
        <v>17.68</v>
      </c>
      <c r="D394" s="22" t="n">
        <v>304</v>
      </c>
      <c r="E394" s="20" t="n">
        <v>19.04</v>
      </c>
      <c r="G394" s="22" t="n">
        <v>304</v>
      </c>
      <c r="H394" s="20" t="n">
        <v>19.04</v>
      </c>
    </row>
    <row r="395" customFormat="false" ht="15" hidden="false" customHeight="false" outlineLevel="0" collapsed="false">
      <c r="A395" s="22" t="n">
        <v>306</v>
      </c>
      <c r="B395" s="20" t="n">
        <v>17.94</v>
      </c>
      <c r="D395" s="22" t="n">
        <v>306</v>
      </c>
      <c r="E395" s="20" t="n">
        <v>19.32</v>
      </c>
      <c r="G395" s="22" t="n">
        <v>306</v>
      </c>
      <c r="H395" s="20" t="n">
        <v>19.32</v>
      </c>
    </row>
    <row r="396" customFormat="false" ht="15" hidden="false" customHeight="false" outlineLevel="0" collapsed="false">
      <c r="A396" s="22" t="n">
        <v>308</v>
      </c>
      <c r="B396" s="20" t="n">
        <v>17.94</v>
      </c>
      <c r="D396" s="22" t="n">
        <v>308</v>
      </c>
      <c r="E396" s="20" t="n">
        <v>19.32</v>
      </c>
      <c r="G396" s="22" t="n">
        <v>308</v>
      </c>
      <c r="H396" s="20" t="n">
        <v>19.32</v>
      </c>
    </row>
    <row r="397" customFormat="false" ht="15" hidden="false" customHeight="false" outlineLevel="0" collapsed="false">
      <c r="A397" s="22" t="n">
        <v>310</v>
      </c>
      <c r="B397" s="20" t="n">
        <v>18.2</v>
      </c>
      <c r="D397" s="22" t="n">
        <v>310</v>
      </c>
      <c r="E397" s="20" t="n">
        <v>19.6</v>
      </c>
      <c r="G397" s="22" t="n">
        <v>310</v>
      </c>
      <c r="H397" s="20" t="n">
        <v>19.6</v>
      </c>
    </row>
    <row r="398" customFormat="false" ht="15" hidden="false" customHeight="false" outlineLevel="0" collapsed="false">
      <c r="A398" s="22" t="n">
        <v>312</v>
      </c>
      <c r="B398" s="20" t="n">
        <v>18.2</v>
      </c>
      <c r="D398" s="22" t="n">
        <v>312</v>
      </c>
      <c r="E398" s="20" t="n">
        <v>19.6</v>
      </c>
      <c r="G398" s="22" t="n">
        <v>312</v>
      </c>
      <c r="H398" s="20" t="n">
        <v>19.6</v>
      </c>
    </row>
    <row r="399" customFormat="false" ht="15" hidden="false" customHeight="false" outlineLevel="0" collapsed="false">
      <c r="A399" s="22" t="n">
        <v>314</v>
      </c>
      <c r="B399" s="20" t="n">
        <v>18.46</v>
      </c>
      <c r="D399" s="22" t="n">
        <v>314</v>
      </c>
      <c r="E399" s="20" t="n">
        <v>19.88</v>
      </c>
      <c r="G399" s="22" t="n">
        <v>314</v>
      </c>
      <c r="H399" s="20" t="n">
        <v>19.88</v>
      </c>
    </row>
    <row r="400" customFormat="false" ht="15" hidden="false" customHeight="false" outlineLevel="0" collapsed="false">
      <c r="A400" s="22" t="n">
        <v>316</v>
      </c>
      <c r="B400" s="20" t="n">
        <v>18.46</v>
      </c>
      <c r="D400" s="22" t="n">
        <v>316</v>
      </c>
      <c r="E400" s="20" t="n">
        <v>19.88</v>
      </c>
      <c r="G400" s="22" t="n">
        <v>316</v>
      </c>
      <c r="H400" s="20" t="n">
        <v>19.88</v>
      </c>
    </row>
    <row r="401" customFormat="false" ht="15" hidden="false" customHeight="false" outlineLevel="0" collapsed="false">
      <c r="A401" s="22" t="n">
        <v>318</v>
      </c>
      <c r="B401" s="20" t="n">
        <v>18.72</v>
      </c>
      <c r="D401" s="22" t="n">
        <v>318</v>
      </c>
      <c r="E401" s="20" t="n">
        <v>20.16</v>
      </c>
      <c r="G401" s="22" t="n">
        <v>318</v>
      </c>
      <c r="H401" s="20" t="n">
        <v>20.16</v>
      </c>
    </row>
    <row r="402" customFormat="false" ht="15" hidden="false" customHeight="false" outlineLevel="0" collapsed="false">
      <c r="A402" s="22" t="n">
        <v>320</v>
      </c>
      <c r="B402" s="20" t="n">
        <v>18.72</v>
      </c>
      <c r="D402" s="22" t="n">
        <v>320</v>
      </c>
      <c r="E402" s="20" t="n">
        <v>20.16</v>
      </c>
      <c r="G402" s="22" t="n">
        <v>320</v>
      </c>
      <c r="H402" s="20" t="n">
        <v>20.16</v>
      </c>
    </row>
    <row r="403" customFormat="false" ht="15" hidden="false" customHeight="false" outlineLevel="0" collapsed="false">
      <c r="A403" s="22" t="n">
        <v>322</v>
      </c>
      <c r="B403" s="20" t="n">
        <v>18.98</v>
      </c>
      <c r="D403" s="22" t="n">
        <v>322</v>
      </c>
      <c r="E403" s="20" t="n">
        <v>20.44</v>
      </c>
      <c r="G403" s="22" t="n">
        <v>322</v>
      </c>
      <c r="H403" s="20" t="n">
        <v>20.44</v>
      </c>
    </row>
    <row r="404" customFormat="false" ht="15" hidden="false" customHeight="false" outlineLevel="0" collapsed="false">
      <c r="A404" s="22" t="n">
        <v>324</v>
      </c>
      <c r="B404" s="20" t="n">
        <v>18.98</v>
      </c>
      <c r="D404" s="22" t="n">
        <v>324</v>
      </c>
      <c r="E404" s="20" t="n">
        <v>20.44</v>
      </c>
      <c r="G404" s="22" t="n">
        <v>324</v>
      </c>
      <c r="H404" s="20" t="n">
        <v>20.44</v>
      </c>
    </row>
    <row r="405" customFormat="false" ht="15" hidden="false" customHeight="false" outlineLevel="0" collapsed="false">
      <c r="A405" s="22" t="n">
        <v>326</v>
      </c>
      <c r="B405" s="20" t="n">
        <v>19.24</v>
      </c>
      <c r="D405" s="22" t="n">
        <v>326</v>
      </c>
      <c r="E405" s="20" t="n">
        <v>20.72</v>
      </c>
      <c r="G405" s="22" t="n">
        <v>326</v>
      </c>
      <c r="H405" s="20" t="n">
        <v>20.72</v>
      </c>
    </row>
    <row r="406" customFormat="false" ht="15" hidden="false" customHeight="false" outlineLevel="0" collapsed="false">
      <c r="A406" s="22" t="n">
        <v>328</v>
      </c>
      <c r="B406" s="20" t="n">
        <v>19.24</v>
      </c>
      <c r="D406" s="22" t="n">
        <v>328</v>
      </c>
      <c r="E406" s="20" t="n">
        <v>20.72</v>
      </c>
      <c r="G406" s="22" t="n">
        <v>328</v>
      </c>
      <c r="H406" s="20" t="n">
        <v>20.72</v>
      </c>
    </row>
    <row r="407" customFormat="false" ht="15" hidden="false" customHeight="false" outlineLevel="0" collapsed="false">
      <c r="A407" s="22" t="n">
        <v>330</v>
      </c>
      <c r="B407" s="20" t="n">
        <v>19.5</v>
      </c>
      <c r="D407" s="22" t="n">
        <v>330</v>
      </c>
      <c r="E407" s="20" t="n">
        <v>21</v>
      </c>
      <c r="G407" s="22" t="n">
        <v>330</v>
      </c>
      <c r="H407" s="20" t="n">
        <v>21</v>
      </c>
    </row>
    <row r="408" customFormat="false" ht="15" hidden="false" customHeight="false" outlineLevel="0" collapsed="false">
      <c r="A408" s="22" t="n">
        <v>332</v>
      </c>
      <c r="B408" s="20" t="n">
        <v>19.5</v>
      </c>
      <c r="D408" s="22" t="n">
        <v>332</v>
      </c>
      <c r="E408" s="20" t="n">
        <v>21</v>
      </c>
      <c r="G408" s="22" t="n">
        <v>332</v>
      </c>
      <c r="H408" s="20" t="n">
        <v>21</v>
      </c>
    </row>
    <row r="409" customFormat="false" ht="15" hidden="false" customHeight="false" outlineLevel="0" collapsed="false">
      <c r="A409" s="22" t="n">
        <v>334</v>
      </c>
      <c r="B409" s="20" t="n">
        <v>19.76</v>
      </c>
      <c r="D409" s="22" t="n">
        <v>334</v>
      </c>
      <c r="E409" s="20" t="n">
        <v>21.28</v>
      </c>
      <c r="G409" s="22" t="n">
        <v>334</v>
      </c>
      <c r="H409" s="20" t="n">
        <v>21.28</v>
      </c>
    </row>
    <row r="410" customFormat="false" ht="15" hidden="false" customHeight="false" outlineLevel="0" collapsed="false">
      <c r="A410" s="22" t="n">
        <v>336</v>
      </c>
      <c r="B410" s="20" t="n">
        <v>19.76</v>
      </c>
      <c r="D410" s="22" t="n">
        <v>336</v>
      </c>
      <c r="E410" s="20" t="n">
        <v>21.28</v>
      </c>
      <c r="G410" s="22" t="n">
        <v>336</v>
      </c>
      <c r="H410" s="20" t="n">
        <v>21.28</v>
      </c>
    </row>
    <row r="411" customFormat="false" ht="15" hidden="false" customHeight="false" outlineLevel="0" collapsed="false">
      <c r="A411" s="22" t="n">
        <v>338</v>
      </c>
      <c r="B411" s="20" t="n">
        <v>20.02</v>
      </c>
      <c r="D411" s="22" t="n">
        <v>338</v>
      </c>
      <c r="E411" s="20" t="n">
        <v>21.56</v>
      </c>
      <c r="G411" s="22" t="n">
        <v>338</v>
      </c>
      <c r="H411" s="20" t="n">
        <v>21.56</v>
      </c>
    </row>
    <row r="412" customFormat="false" ht="15" hidden="false" customHeight="false" outlineLevel="0" collapsed="false">
      <c r="A412" s="22" t="n">
        <v>340</v>
      </c>
      <c r="B412" s="20" t="n">
        <v>20.02</v>
      </c>
      <c r="D412" s="22" t="n">
        <v>340</v>
      </c>
      <c r="E412" s="20" t="n">
        <v>21.56</v>
      </c>
      <c r="G412" s="22" t="n">
        <v>340</v>
      </c>
      <c r="H412" s="20" t="n">
        <v>21.56</v>
      </c>
    </row>
    <row r="413" customFormat="false" ht="15" hidden="false" customHeight="false" outlineLevel="0" collapsed="false">
      <c r="A413" s="22" t="n">
        <v>342</v>
      </c>
      <c r="B413" s="20" t="n">
        <v>20.28</v>
      </c>
      <c r="D413" s="22" t="n">
        <v>342</v>
      </c>
      <c r="E413" s="20" t="n">
        <v>21.84</v>
      </c>
      <c r="G413" s="22" t="n">
        <v>342</v>
      </c>
      <c r="H413" s="20" t="n">
        <v>21.84</v>
      </c>
    </row>
    <row r="414" customFormat="false" ht="15" hidden="false" customHeight="false" outlineLevel="0" collapsed="false">
      <c r="A414" s="22" t="n">
        <v>344</v>
      </c>
      <c r="B414" s="20" t="n">
        <v>20.28</v>
      </c>
      <c r="D414" s="22" t="n">
        <v>344</v>
      </c>
      <c r="E414" s="20" t="n">
        <v>21.84</v>
      </c>
      <c r="G414" s="22" t="n">
        <v>344</v>
      </c>
      <c r="H414" s="20" t="n">
        <v>21.84</v>
      </c>
    </row>
    <row r="415" customFormat="false" ht="15" hidden="false" customHeight="false" outlineLevel="0" collapsed="false">
      <c r="A415" s="22" t="n">
        <v>346</v>
      </c>
      <c r="B415" s="20" t="n">
        <v>20.54</v>
      </c>
      <c r="D415" s="22" t="n">
        <v>346</v>
      </c>
      <c r="E415" s="20" t="n">
        <v>22.12</v>
      </c>
      <c r="G415" s="22" t="n">
        <v>346</v>
      </c>
      <c r="H415" s="20" t="n">
        <v>22.12</v>
      </c>
    </row>
    <row r="416" customFormat="false" ht="15" hidden="false" customHeight="false" outlineLevel="0" collapsed="false">
      <c r="A416" s="22" t="n">
        <v>348</v>
      </c>
      <c r="B416" s="20" t="n">
        <v>20.54</v>
      </c>
      <c r="D416" s="22" t="n">
        <v>348</v>
      </c>
      <c r="E416" s="20" t="n">
        <v>22.12</v>
      </c>
      <c r="G416" s="22" t="n">
        <v>348</v>
      </c>
      <c r="H416" s="20" t="n">
        <v>22.12</v>
      </c>
    </row>
    <row r="417" customFormat="false" ht="15" hidden="false" customHeight="false" outlineLevel="0" collapsed="false">
      <c r="A417" s="22" t="n">
        <v>350</v>
      </c>
      <c r="B417" s="20" t="n">
        <v>20.8</v>
      </c>
      <c r="D417" s="22" t="n">
        <v>350</v>
      </c>
      <c r="E417" s="20" t="n">
        <v>22.4</v>
      </c>
      <c r="G417" s="22" t="n">
        <v>350</v>
      </c>
      <c r="H417" s="20" t="n">
        <v>22.4</v>
      </c>
    </row>
  </sheetData>
  <mergeCells count="25">
    <mergeCell ref="A1:I1"/>
    <mergeCell ref="A2:I2"/>
    <mergeCell ref="C5:I5"/>
    <mergeCell ref="K7:L7"/>
    <mergeCell ref="A24:I24"/>
    <mergeCell ref="A25:I25"/>
    <mergeCell ref="A37:I37"/>
    <mergeCell ref="A45:I45"/>
    <mergeCell ref="A53:I53"/>
    <mergeCell ref="A64:I64"/>
    <mergeCell ref="A65:I65"/>
    <mergeCell ref="A84:I84"/>
    <mergeCell ref="A86:B86"/>
    <mergeCell ref="D86:E86"/>
    <mergeCell ref="G86:H86"/>
    <mergeCell ref="A87:B87"/>
    <mergeCell ref="D87:E87"/>
    <mergeCell ref="G87:H87"/>
    <mergeCell ref="A251:I251"/>
    <mergeCell ref="A253:B253"/>
    <mergeCell ref="D253:E253"/>
    <mergeCell ref="G253:H253"/>
    <mergeCell ref="A254:B254"/>
    <mergeCell ref="D254:E254"/>
    <mergeCell ref="G254:H2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6"/>
    <col collapsed="false" customWidth="true" hidden="false" outlineLevel="0" max="4" min="3" style="1" width="20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28"/>
    <col collapsed="false" customWidth="true" hidden="false" outlineLevel="0" max="11" min="11" style="1" width="26"/>
    <col collapsed="false" customWidth="true" hidden="false" outlineLevel="0" max="12" min="12" style="1" width="14"/>
  </cols>
  <sheetData>
    <row r="1" customFormat="false" ht="21.75" hidden="false" customHeight="true" outlineLevel="0" collapsed="false">
      <c r="A1" s="16" t="s">
        <v>87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true" outlineLevel="0" collapsed="false">
      <c r="A2" s="17" t="s">
        <v>88</v>
      </c>
      <c r="B2" s="17"/>
      <c r="C2" s="17"/>
      <c r="D2" s="17"/>
      <c r="E2" s="17"/>
      <c r="F2" s="17"/>
      <c r="G2" s="17"/>
      <c r="H2" s="17"/>
      <c r="I2" s="17"/>
    </row>
    <row r="5" customFormat="false" ht="15" hidden="false" customHeight="true" outlineLevel="0" collapsed="false">
      <c r="A5" s="27" t="s">
        <v>2</v>
      </c>
      <c r="B5" s="20" t="n">
        <v>15.69</v>
      </c>
      <c r="C5" s="28" t="s">
        <v>86</v>
      </c>
      <c r="D5" s="28"/>
      <c r="E5" s="28"/>
      <c r="F5" s="28"/>
      <c r="G5" s="28"/>
      <c r="H5" s="28"/>
      <c r="I5" s="28"/>
    </row>
    <row r="7" customFormat="false" ht="30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K7" s="18" t="s">
        <v>13</v>
      </c>
      <c r="L7" s="18"/>
    </row>
    <row r="8" customFormat="false" ht="15" hidden="false" customHeight="true" outlineLevel="0" collapsed="false">
      <c r="A8" s="29" t="n">
        <v>1</v>
      </c>
      <c r="B8" s="30" t="n">
        <v>0</v>
      </c>
      <c r="C8" s="23" t="n">
        <f aca="false">$B$5</f>
        <v>15.69</v>
      </c>
      <c r="D8" s="23" t="n">
        <f aca="false">C8*(1-B8)</f>
        <v>15.69</v>
      </c>
      <c r="E8" s="23" t="n">
        <f aca="false">A8*C8</f>
        <v>15.69</v>
      </c>
      <c r="F8" s="23" t="n">
        <f aca="false">A8*D8</f>
        <v>15.69</v>
      </c>
      <c r="G8" s="23" t="n">
        <f aca="false">E8-F8</f>
        <v>0</v>
      </c>
      <c r="H8" s="23" t="n">
        <f aca="false">C8-D8</f>
        <v>0</v>
      </c>
      <c r="I8" s="31" t="s">
        <v>14</v>
      </c>
      <c r="K8" s="21" t="s">
        <v>15</v>
      </c>
      <c r="L8" s="24" t="n">
        <f aca="false">MAX(B8:B20)</f>
        <v>0.649</v>
      </c>
    </row>
    <row r="9" customFormat="false" ht="15" hidden="false" customHeight="true" outlineLevel="0" collapsed="false">
      <c r="A9" s="29" t="n">
        <v>2</v>
      </c>
      <c r="B9" s="30" t="n">
        <v>0.062</v>
      </c>
      <c r="C9" s="23" t="n">
        <f aca="false">$B$5</f>
        <v>15.69</v>
      </c>
      <c r="D9" s="23" t="n">
        <f aca="false">C9*(1-B9)</f>
        <v>14.71722</v>
      </c>
      <c r="E9" s="23" t="n">
        <f aca="false">A9*C9</f>
        <v>31.38</v>
      </c>
      <c r="F9" s="23" t="n">
        <f aca="false">A9*D9</f>
        <v>29.43444</v>
      </c>
      <c r="G9" s="23" t="n">
        <f aca="false">E9-F9</f>
        <v>1.94556</v>
      </c>
      <c r="H9" s="23" t="n">
        <f aca="false">C9-D9</f>
        <v>0.97278</v>
      </c>
      <c r="I9" s="31" t="s">
        <v>14</v>
      </c>
      <c r="K9" s="21" t="s">
        <v>16</v>
      </c>
      <c r="L9" s="23" t="n">
        <f aca="false">MIN(D8:D20)</f>
        <v>5.50719</v>
      </c>
    </row>
    <row r="10" customFormat="false" ht="15" hidden="false" customHeight="true" outlineLevel="0" collapsed="false">
      <c r="A10" s="29" t="n">
        <v>5</v>
      </c>
      <c r="B10" s="30" t="n">
        <v>0.118</v>
      </c>
      <c r="C10" s="23" t="n">
        <f aca="false">$B$5</f>
        <v>15.69</v>
      </c>
      <c r="D10" s="23" t="n">
        <f aca="false">C10*(1-B10)</f>
        <v>13.83858</v>
      </c>
      <c r="E10" s="23" t="n">
        <f aca="false">A10*C10</f>
        <v>78.45</v>
      </c>
      <c r="F10" s="23" t="n">
        <f aca="false">A10*D10</f>
        <v>69.1929</v>
      </c>
      <c r="G10" s="23" t="n">
        <f aca="false">E10-F10</f>
        <v>9.25709999999999</v>
      </c>
      <c r="H10" s="23" t="n">
        <f aca="false">C10-D10</f>
        <v>1.85142</v>
      </c>
      <c r="I10" s="31" t="s">
        <v>14</v>
      </c>
      <c r="K10" s="21" t="s">
        <v>17</v>
      </c>
      <c r="L10" s="23" t="n">
        <f aca="false">F20</f>
        <v>5507.19</v>
      </c>
    </row>
    <row r="11" customFormat="false" ht="15" hidden="false" customHeight="true" outlineLevel="0" collapsed="false">
      <c r="A11" s="29" t="n">
        <v>20</v>
      </c>
      <c r="B11" s="30" t="n">
        <v>0.27</v>
      </c>
      <c r="C11" s="23" t="n">
        <f aca="false">$B$5</f>
        <v>15.69</v>
      </c>
      <c r="D11" s="23" t="n">
        <f aca="false">C11*(1-B11)</f>
        <v>11.4537</v>
      </c>
      <c r="E11" s="23" t="n">
        <f aca="false">A11*C11</f>
        <v>313.8</v>
      </c>
      <c r="F11" s="23" t="n">
        <f aca="false">A11*D11</f>
        <v>229.074</v>
      </c>
      <c r="G11" s="23" t="n">
        <f aca="false">E11-F11</f>
        <v>84.726</v>
      </c>
      <c r="H11" s="23" t="n">
        <f aca="false">C11-D11</f>
        <v>4.2363</v>
      </c>
      <c r="I11" s="31" t="s">
        <v>14</v>
      </c>
      <c r="K11" s="21" t="s">
        <v>18</v>
      </c>
      <c r="L11" s="23" t="n">
        <f aca="false">G20</f>
        <v>10182.81</v>
      </c>
    </row>
    <row r="12" customFormat="false" ht="15" hidden="false" customHeight="true" outlineLevel="0" collapsed="false">
      <c r="A12" s="29" t="n">
        <v>25</v>
      </c>
      <c r="B12" s="30" t="n">
        <v>0.289</v>
      </c>
      <c r="C12" s="23" t="n">
        <f aca="false">$B$5</f>
        <v>15.69</v>
      </c>
      <c r="D12" s="23" t="n">
        <f aca="false">C12*(1-B12)</f>
        <v>11.15559</v>
      </c>
      <c r="E12" s="23" t="n">
        <f aca="false">A12*C12</f>
        <v>392.25</v>
      </c>
      <c r="F12" s="23" t="n">
        <f aca="false">A12*D12</f>
        <v>278.88975</v>
      </c>
      <c r="G12" s="23" t="n">
        <f aca="false">E12-F12</f>
        <v>113.36025</v>
      </c>
      <c r="H12" s="23" t="n">
        <f aca="false">C12-D12</f>
        <v>4.53441</v>
      </c>
      <c r="I12" s="31" t="s">
        <v>14</v>
      </c>
    </row>
    <row r="13" customFormat="false" ht="15" hidden="false" customHeight="true" outlineLevel="0" collapsed="false">
      <c r="A13" s="29" t="n">
        <v>50</v>
      </c>
      <c r="B13" s="30" t="n">
        <v>0.361</v>
      </c>
      <c r="C13" s="23" t="n">
        <f aca="false">$B$5</f>
        <v>15.69</v>
      </c>
      <c r="D13" s="23" t="n">
        <f aca="false">C13*(1-B13)</f>
        <v>10.02591</v>
      </c>
      <c r="E13" s="23" t="n">
        <f aca="false">A13*C13</f>
        <v>784.5</v>
      </c>
      <c r="F13" s="23" t="n">
        <f aca="false">A13*D13</f>
        <v>501.2955</v>
      </c>
      <c r="G13" s="23" t="n">
        <f aca="false">E13-F13</f>
        <v>283.2045</v>
      </c>
      <c r="H13" s="23" t="n">
        <f aca="false">C13-D13</f>
        <v>5.66409</v>
      </c>
      <c r="I13" s="31" t="s">
        <v>14</v>
      </c>
    </row>
    <row r="14" customFormat="false" ht="15" hidden="false" customHeight="true" outlineLevel="0" collapsed="false">
      <c r="A14" s="29" t="n">
        <v>75</v>
      </c>
      <c r="B14" s="30" t="n">
        <v>0.393</v>
      </c>
      <c r="C14" s="23" t="n">
        <f aca="false">$B$5</f>
        <v>15.69</v>
      </c>
      <c r="D14" s="23" t="n">
        <f aca="false">C14*(1-B14)</f>
        <v>9.52383</v>
      </c>
      <c r="E14" s="23" t="n">
        <f aca="false">A14*C14</f>
        <v>1176.75</v>
      </c>
      <c r="F14" s="23" t="n">
        <f aca="false">A14*D14</f>
        <v>714.28725</v>
      </c>
      <c r="G14" s="23" t="n">
        <f aca="false">E14-F14</f>
        <v>462.46275</v>
      </c>
      <c r="H14" s="23" t="n">
        <f aca="false">C14-D14</f>
        <v>6.16617</v>
      </c>
      <c r="I14" s="31" t="s">
        <v>14</v>
      </c>
    </row>
    <row r="15" customFormat="false" ht="15" hidden="false" customHeight="true" outlineLevel="0" collapsed="false">
      <c r="A15" s="29" t="n">
        <v>100</v>
      </c>
      <c r="B15" s="30" t="n">
        <v>0.419</v>
      </c>
      <c r="C15" s="23" t="n">
        <f aca="false">$B$5</f>
        <v>15.69</v>
      </c>
      <c r="D15" s="23" t="n">
        <f aca="false">C15*(1-B15)</f>
        <v>9.11589</v>
      </c>
      <c r="E15" s="23" t="n">
        <f aca="false">A15*C15</f>
        <v>1569</v>
      </c>
      <c r="F15" s="23" t="n">
        <f aca="false">A15*D15</f>
        <v>911.589</v>
      </c>
      <c r="G15" s="23" t="n">
        <f aca="false">E15-F15</f>
        <v>657.411</v>
      </c>
      <c r="H15" s="23" t="n">
        <f aca="false">C15-D15</f>
        <v>6.57411</v>
      </c>
      <c r="I15" s="31" t="s">
        <v>14</v>
      </c>
    </row>
    <row r="16" customFormat="false" ht="15" hidden="false" customHeight="true" outlineLevel="0" collapsed="false">
      <c r="A16" s="29" t="n">
        <v>250</v>
      </c>
      <c r="B16" s="30" t="n">
        <v>0.477</v>
      </c>
      <c r="C16" s="23" t="n">
        <f aca="false">$B$5</f>
        <v>15.69</v>
      </c>
      <c r="D16" s="23" t="n">
        <f aca="false">C16*(1-B16)</f>
        <v>8.20587</v>
      </c>
      <c r="E16" s="23" t="n">
        <f aca="false">A16*C16</f>
        <v>3922.5</v>
      </c>
      <c r="F16" s="23" t="n">
        <f aca="false">A16*D16</f>
        <v>2051.4675</v>
      </c>
      <c r="G16" s="23" t="n">
        <f aca="false">E16-F16</f>
        <v>1871.0325</v>
      </c>
      <c r="H16" s="23" t="n">
        <f aca="false">C16-D16</f>
        <v>7.48413</v>
      </c>
      <c r="I16" s="31" t="s">
        <v>14</v>
      </c>
    </row>
    <row r="17" customFormat="false" ht="15" hidden="false" customHeight="true" outlineLevel="0" collapsed="false">
      <c r="A17" s="29" t="n">
        <v>300</v>
      </c>
      <c r="B17" s="30" t="n">
        <v>0.5</v>
      </c>
      <c r="C17" s="23" t="n">
        <f aca="false">$B$5</f>
        <v>15.69</v>
      </c>
      <c r="D17" s="23" t="n">
        <f aca="false">C17*(1-B17)</f>
        <v>7.845</v>
      </c>
      <c r="E17" s="23" t="n">
        <f aca="false">A17*C17</f>
        <v>4707</v>
      </c>
      <c r="F17" s="23" t="n">
        <f aca="false">A17*D17</f>
        <v>2353.5</v>
      </c>
      <c r="G17" s="23" t="n">
        <f aca="false">E17-F17</f>
        <v>2353.5</v>
      </c>
      <c r="H17" s="23" t="n">
        <f aca="false">C17-D17</f>
        <v>7.845</v>
      </c>
      <c r="I17" s="31" t="s">
        <v>14</v>
      </c>
    </row>
    <row r="18" customFormat="false" ht="15" hidden="false" customHeight="true" outlineLevel="0" collapsed="false">
      <c r="A18" s="29" t="n">
        <v>500</v>
      </c>
      <c r="B18" s="30" t="n">
        <v>0.532</v>
      </c>
      <c r="C18" s="23" t="n">
        <f aca="false">$B$5</f>
        <v>15.69</v>
      </c>
      <c r="D18" s="23" t="n">
        <f aca="false">C18*(1-B18)</f>
        <v>7.34292</v>
      </c>
      <c r="E18" s="23" t="n">
        <f aca="false">A18*C18</f>
        <v>7845</v>
      </c>
      <c r="F18" s="23" t="n">
        <f aca="false">A18*D18</f>
        <v>3671.46</v>
      </c>
      <c r="G18" s="23" t="n">
        <f aca="false">E18-F18</f>
        <v>4173.54</v>
      </c>
      <c r="H18" s="23" t="n">
        <f aca="false">C18-D18</f>
        <v>8.34708</v>
      </c>
      <c r="I18" s="31" t="s">
        <v>14</v>
      </c>
    </row>
    <row r="19" customFormat="false" ht="15" hidden="false" customHeight="true" outlineLevel="0" collapsed="false">
      <c r="A19" s="29" t="n">
        <v>750</v>
      </c>
      <c r="B19" s="30" t="n">
        <v>0.575</v>
      </c>
      <c r="C19" s="23" t="n">
        <f aca="false">$B$5</f>
        <v>15.69</v>
      </c>
      <c r="D19" s="23" t="n">
        <f aca="false">C19*(1-B19)</f>
        <v>6.66825</v>
      </c>
      <c r="E19" s="23" t="n">
        <f aca="false">A19*C19</f>
        <v>11767.5</v>
      </c>
      <c r="F19" s="23" t="n">
        <f aca="false">A19*D19</f>
        <v>5001.1875</v>
      </c>
      <c r="G19" s="23" t="n">
        <f aca="false">E19-F19</f>
        <v>6766.3125</v>
      </c>
      <c r="H19" s="23" t="n">
        <f aca="false">C19-D19</f>
        <v>9.02175</v>
      </c>
      <c r="I19" s="31" t="s">
        <v>14</v>
      </c>
    </row>
    <row r="20" customFormat="false" ht="15" hidden="false" customHeight="true" outlineLevel="0" collapsed="false">
      <c r="A20" s="29" t="n">
        <v>1000</v>
      </c>
      <c r="B20" s="30" t="n">
        <v>0.649</v>
      </c>
      <c r="C20" s="23" t="n">
        <f aca="false">$B$5</f>
        <v>15.69</v>
      </c>
      <c r="D20" s="23" t="n">
        <f aca="false">C20*(1-B20)</f>
        <v>5.50719</v>
      </c>
      <c r="E20" s="23" t="n">
        <f aca="false">A20*C20</f>
        <v>15690</v>
      </c>
      <c r="F20" s="23" t="n">
        <f aca="false">A20*D20</f>
        <v>5507.19</v>
      </c>
      <c r="G20" s="23" t="n">
        <f aca="false">E20-F20</f>
        <v>10182.81</v>
      </c>
      <c r="H20" s="23" t="n">
        <f aca="false">C20-D20</f>
        <v>10.18281</v>
      </c>
      <c r="I20" s="31" t="s">
        <v>19</v>
      </c>
    </row>
    <row r="24" customFormat="false" ht="21.75" hidden="false" customHeight="true" outlineLevel="0" collapsed="false">
      <c r="A24" s="16" t="s">
        <v>20</v>
      </c>
      <c r="B24" s="16"/>
      <c r="C24" s="16"/>
      <c r="D24" s="16"/>
      <c r="E24" s="16"/>
      <c r="F24" s="16"/>
      <c r="G24" s="16"/>
      <c r="H24" s="16"/>
      <c r="I24" s="16"/>
    </row>
    <row r="25" customFormat="false" ht="15" hidden="false" customHeight="true" outlineLevel="0" collapsed="false">
      <c r="A25" s="17" t="s">
        <v>21</v>
      </c>
      <c r="B25" s="17"/>
      <c r="C25" s="17"/>
      <c r="D25" s="17"/>
      <c r="E25" s="17"/>
      <c r="F25" s="17"/>
      <c r="G25" s="17"/>
      <c r="H25" s="17"/>
      <c r="I25" s="17"/>
    </row>
    <row r="27" customFormat="false" ht="15" hidden="false" customHeight="true" outlineLevel="0" collapsed="false">
      <c r="A27" s="18" t="s">
        <v>22</v>
      </c>
      <c r="B27" s="18" t="s">
        <v>23</v>
      </c>
      <c r="C27" s="18" t="s">
        <v>24</v>
      </c>
    </row>
    <row r="28" customFormat="false" ht="15" hidden="false" customHeight="true" outlineLevel="0" collapsed="false">
      <c r="A28" s="19" t="s">
        <v>89</v>
      </c>
      <c r="B28" s="20" t="n">
        <v>0</v>
      </c>
      <c r="C28" s="19" t="s">
        <v>90</v>
      </c>
    </row>
    <row r="29" customFormat="false" ht="15" hidden="false" customHeight="true" outlineLevel="0" collapsed="false">
      <c r="A29" s="19" t="s">
        <v>25</v>
      </c>
      <c r="B29" s="20" t="n">
        <v>0.51</v>
      </c>
      <c r="C29" s="19" t="s">
        <v>26</v>
      </c>
    </row>
    <row r="30" customFormat="false" ht="15" hidden="false" customHeight="true" outlineLevel="0" collapsed="false">
      <c r="A30" s="19" t="s">
        <v>27</v>
      </c>
      <c r="B30" s="20" t="n">
        <v>0.51</v>
      </c>
      <c r="C30" s="19" t="s">
        <v>28</v>
      </c>
    </row>
    <row r="31" customFormat="false" ht="15" hidden="false" customHeight="true" outlineLevel="0" collapsed="false">
      <c r="A31" s="19" t="s">
        <v>29</v>
      </c>
      <c r="B31" s="20" t="n">
        <v>0.47</v>
      </c>
      <c r="C31" s="19" t="s">
        <v>30</v>
      </c>
    </row>
    <row r="32" customFormat="false" ht="15" hidden="false" customHeight="true" outlineLevel="0" collapsed="false">
      <c r="A32" s="19" t="s">
        <v>31</v>
      </c>
      <c r="B32" s="20" t="n">
        <v>0.51</v>
      </c>
      <c r="C32" s="19" t="s">
        <v>32</v>
      </c>
    </row>
    <row r="33" customFormat="false" ht="15" hidden="false" customHeight="true" outlineLevel="0" collapsed="false">
      <c r="A33" s="19" t="s">
        <v>91</v>
      </c>
      <c r="B33" s="20" t="n">
        <v>0.6</v>
      </c>
      <c r="C33" s="19" t="s">
        <v>92</v>
      </c>
    </row>
    <row r="34" customFormat="false" ht="15" hidden="false" customHeight="true" outlineLevel="0" collapsed="false">
      <c r="A34" s="19" t="s">
        <v>33</v>
      </c>
      <c r="B34" s="20" t="n">
        <v>6.67</v>
      </c>
      <c r="C34" s="19" t="s">
        <v>34</v>
      </c>
    </row>
    <row r="37" customFormat="false" ht="21.75" hidden="false" customHeight="true" outlineLevel="0" collapsed="false">
      <c r="A37" s="16" t="s">
        <v>35</v>
      </c>
      <c r="B37" s="16"/>
      <c r="C37" s="16"/>
      <c r="D37" s="16"/>
      <c r="E37" s="16"/>
      <c r="F37" s="16"/>
      <c r="G37" s="16"/>
      <c r="H37" s="16"/>
      <c r="I37" s="16"/>
    </row>
    <row r="39" customFormat="false" ht="15" hidden="false" customHeight="true" outlineLevel="0" collapsed="false">
      <c r="A39" s="18" t="s">
        <v>36</v>
      </c>
      <c r="B39" s="18" t="s">
        <v>37</v>
      </c>
    </row>
    <row r="40" customFormat="false" ht="15" hidden="false" customHeight="true" outlineLevel="0" collapsed="false">
      <c r="A40" s="19" t="s">
        <v>38</v>
      </c>
      <c r="B40" s="20" t="n">
        <v>0</v>
      </c>
    </row>
    <row r="41" customFormat="false" ht="15" hidden="false" customHeight="true" outlineLevel="0" collapsed="false">
      <c r="A41" s="19" t="s">
        <v>39</v>
      </c>
      <c r="B41" s="20" t="n">
        <v>0.71</v>
      </c>
    </row>
    <row r="42" customFormat="false" ht="15" hidden="false" customHeight="true" outlineLevel="0" collapsed="false">
      <c r="A42" s="19" t="s">
        <v>40</v>
      </c>
      <c r="B42" s="20" t="n">
        <v>0.77</v>
      </c>
    </row>
    <row r="45" customFormat="false" ht="21.75" hidden="false" customHeight="true" outlineLevel="0" collapsed="false">
      <c r="A45" s="16" t="s">
        <v>41</v>
      </c>
      <c r="B45" s="16"/>
      <c r="C45" s="16"/>
      <c r="D45" s="16"/>
      <c r="E45" s="16"/>
      <c r="F45" s="16"/>
      <c r="G45" s="16"/>
      <c r="H45" s="16"/>
      <c r="I45" s="16"/>
    </row>
    <row r="47" customFormat="false" ht="15" hidden="false" customHeight="true" outlineLevel="0" collapsed="false">
      <c r="A47" s="18" t="s">
        <v>42</v>
      </c>
      <c r="B47" s="18" t="s">
        <v>37</v>
      </c>
    </row>
    <row r="48" customFormat="false" ht="15" hidden="false" customHeight="true" outlineLevel="0" collapsed="false">
      <c r="A48" s="19" t="s">
        <v>38</v>
      </c>
      <c r="B48" s="20" t="n">
        <v>0</v>
      </c>
    </row>
    <row r="49" customFormat="false" ht="15" hidden="false" customHeight="true" outlineLevel="0" collapsed="false">
      <c r="A49" s="19" t="s">
        <v>43</v>
      </c>
      <c r="B49" s="20" t="n">
        <v>0.14</v>
      </c>
    </row>
    <row r="50" customFormat="false" ht="15" hidden="false" customHeight="true" outlineLevel="0" collapsed="false">
      <c r="A50" s="19" t="s">
        <v>44</v>
      </c>
      <c r="B50" s="20" t="n">
        <v>0.77</v>
      </c>
    </row>
    <row r="53" customFormat="false" ht="21.75" hidden="false" customHeight="true" outlineLevel="0" collapsed="false">
      <c r="A53" s="16" t="s">
        <v>45</v>
      </c>
      <c r="B53" s="16"/>
      <c r="C53" s="16"/>
      <c r="D53" s="16"/>
      <c r="E53" s="16"/>
      <c r="F53" s="16"/>
      <c r="G53" s="16"/>
      <c r="H53" s="16"/>
      <c r="I53" s="16"/>
    </row>
    <row r="55" customFormat="false" ht="15" hidden="false" customHeight="true" outlineLevel="0" collapsed="false">
      <c r="A55" s="18" t="s">
        <v>46</v>
      </c>
      <c r="B55" s="18" t="s">
        <v>37</v>
      </c>
    </row>
    <row r="56" customFormat="false" ht="15" hidden="false" customHeight="true" outlineLevel="0" collapsed="false">
      <c r="A56" s="19" t="s">
        <v>38</v>
      </c>
      <c r="B56" s="20" t="n">
        <v>0</v>
      </c>
    </row>
    <row r="57" customFormat="false" ht="15" hidden="false" customHeight="true" outlineLevel="0" collapsed="false">
      <c r="A57" s="19" t="s">
        <v>47</v>
      </c>
      <c r="B57" s="20" t="n">
        <v>4.33</v>
      </c>
    </row>
    <row r="58" customFormat="false" ht="15" hidden="false" customHeight="true" outlineLevel="0" collapsed="false">
      <c r="A58" s="19" t="s">
        <v>48</v>
      </c>
      <c r="B58" s="20" t="n">
        <v>3.33</v>
      </c>
    </row>
    <row r="59" customFormat="false" ht="15" hidden="false" customHeight="true" outlineLevel="0" collapsed="false">
      <c r="A59" s="19" t="s">
        <v>49</v>
      </c>
      <c r="B59" s="20" t="n">
        <v>3.67</v>
      </c>
    </row>
    <row r="60" customFormat="false" ht="15" hidden="false" customHeight="true" outlineLevel="0" collapsed="false">
      <c r="A60" s="19" t="s">
        <v>51</v>
      </c>
      <c r="B60" s="20" t="n">
        <v>3.67</v>
      </c>
    </row>
    <row r="61" customFormat="false" ht="15" hidden="false" customHeight="true" outlineLevel="0" collapsed="false">
      <c r="A61" s="19" t="s">
        <v>50</v>
      </c>
      <c r="B61" s="20" t="n">
        <v>3.14</v>
      </c>
    </row>
    <row r="64" customFormat="false" ht="21.75" hidden="false" customHeight="true" outlineLevel="0" collapsed="false">
      <c r="A64" s="16" t="s">
        <v>52</v>
      </c>
      <c r="B64" s="16"/>
      <c r="C64" s="16"/>
      <c r="D64" s="16"/>
      <c r="E64" s="16"/>
      <c r="F64" s="16"/>
      <c r="G64" s="16"/>
      <c r="H64" s="16"/>
      <c r="I64" s="16"/>
    </row>
    <row r="65" customFormat="false" ht="15" hidden="false" customHeight="true" outlineLevel="0" collapsed="false">
      <c r="A65" s="17" t="s">
        <v>53</v>
      </c>
      <c r="B65" s="17"/>
      <c r="C65" s="17"/>
      <c r="D65" s="17"/>
      <c r="E65" s="17"/>
      <c r="F65" s="17"/>
      <c r="G65" s="17"/>
      <c r="H65" s="17"/>
      <c r="I65" s="17"/>
    </row>
    <row r="67" customFormat="false" ht="15" hidden="false" customHeight="true" outlineLevel="0" collapsed="false">
      <c r="A67" s="21" t="s">
        <v>54</v>
      </c>
      <c r="B67" s="19"/>
    </row>
    <row r="68" customFormat="false" ht="15" hidden="false" customHeight="true" outlineLevel="0" collapsed="false">
      <c r="A68" s="21" t="s">
        <v>55</v>
      </c>
      <c r="B68" s="19" t="s">
        <v>38</v>
      </c>
    </row>
    <row r="69" customFormat="false" ht="15" hidden="false" customHeight="true" outlineLevel="0" collapsed="false">
      <c r="A69" s="21" t="s">
        <v>56</v>
      </c>
      <c r="B69" s="19" t="s">
        <v>38</v>
      </c>
    </row>
    <row r="70" customFormat="false" ht="15" hidden="false" customHeight="true" outlineLevel="0" collapsed="false">
      <c r="A70" s="21" t="s">
        <v>57</v>
      </c>
      <c r="B70" s="19" t="s">
        <v>38</v>
      </c>
    </row>
    <row r="71" customFormat="false" ht="15" hidden="false" customHeight="true" outlineLevel="0" collapsed="false">
      <c r="A71" s="21" t="s">
        <v>58</v>
      </c>
      <c r="B71" s="22" t="n">
        <v>100</v>
      </c>
    </row>
    <row r="73" customFormat="false" ht="15" hidden="false" customHeight="true" outlineLevel="0" collapsed="false">
      <c r="A73" s="21" t="s">
        <v>59</v>
      </c>
      <c r="B73" s="23" t="n">
        <f aca="false">$B$5</f>
        <v>15.69</v>
      </c>
    </row>
    <row r="74" customFormat="false" ht="15" hidden="false" customHeight="true" outlineLevel="0" collapsed="false">
      <c r="A74" s="21" t="s">
        <v>60</v>
      </c>
      <c r="B74" s="23" t="n">
        <f aca="false">IFERROR(VLOOKUP(B67,A28:B34,2,FALSE()),0)</f>
        <v>0</v>
      </c>
    </row>
    <row r="75" customFormat="false" ht="15" hidden="false" customHeight="true" outlineLevel="0" collapsed="false">
      <c r="A75" s="21" t="s">
        <v>61</v>
      </c>
      <c r="B75" s="23" t="n">
        <f aca="false">IFERROR(VLOOKUP(B68,A40:B42,2,FALSE()),0)</f>
        <v>0</v>
      </c>
    </row>
    <row r="76" customFormat="false" ht="15" hidden="false" customHeight="true" outlineLevel="0" collapsed="false">
      <c r="A76" s="21" t="s">
        <v>62</v>
      </c>
      <c r="B76" s="23" t="n">
        <f aca="false">IFERROR(VLOOKUP(B69,A48:B50,2,FALSE()),0)</f>
        <v>0</v>
      </c>
    </row>
    <row r="77" customFormat="false" ht="15" hidden="false" customHeight="true" outlineLevel="0" collapsed="false">
      <c r="A77" s="21" t="s">
        <v>63</v>
      </c>
      <c r="B77" s="23" t="n">
        <f aca="false">IFERROR(VLOOKUP(B70,A56:B61,2,FALSE()),0)</f>
        <v>0</v>
      </c>
    </row>
    <row r="78" customFormat="false" ht="15" hidden="false" customHeight="true" outlineLevel="0" collapsed="false">
      <c r="A78" s="21" t="s">
        <v>64</v>
      </c>
      <c r="B78" s="23" t="n">
        <f aca="false">$B$5+IFERROR(VLOOKUP(B67,A28:B34,2,FALSE()),0)+IFERROR(VLOOKUP(B68,A40:B42,2,FALSE()),0)+IFERROR(VLOOKUP(B69,A48:B50,2,FALSE()),0)+IFERROR(VLOOKUP(B70,A56:B61,2,FALSE()),0)</f>
        <v>15.69</v>
      </c>
    </row>
    <row r="79" customFormat="false" ht="15" hidden="false" customHeight="true" outlineLevel="0" collapsed="false">
      <c r="A79" s="21" t="s">
        <v>65</v>
      </c>
      <c r="B79" s="24" t="n">
        <f aca="false">IFERROR(LOOKUP(B71,A8:A20,B8:B20),0)</f>
        <v>0.419</v>
      </c>
    </row>
    <row r="80" customFormat="false" ht="15" hidden="false" customHeight="true" outlineLevel="0" collapsed="false">
      <c r="A80" s="21" t="s">
        <v>66</v>
      </c>
      <c r="B80" s="25" t="n">
        <f aca="false">($B$5+IFERROR(VLOOKUP(B67,A28:B34,2,FALSE()),0)+IFERROR(VLOOKUP(B68,A40:B42,2,FALSE()),0)+IFERROR(VLOOKUP(B69,A48:B50,2,FALSE()),0)+IFERROR(VLOOKUP(B70,A56:B61,2,FALSE()),0))*(1-IFERROR(LOOKUP(B71,A8:A20,B8:B20),0))</f>
        <v>9.11589</v>
      </c>
    </row>
    <row r="81" customFormat="false" ht="15" hidden="false" customHeight="true" outlineLevel="0" collapsed="false">
      <c r="A81" s="21" t="s">
        <v>67</v>
      </c>
      <c r="B81" s="25" t="n">
        <f aca="false">B71*($B$5+IFERROR(VLOOKUP(B67,A28:B34,2,FALSE()),0)+IFERROR(VLOOKUP(B68,A40:B42,2,FALSE()),0)+IFERROR(VLOOKUP(B69,A48:B50,2,FALSE()),0)+IFERROR(VLOOKUP(B70,A56:B61,2,FALSE()),0))*(1-IFERROR(LOOKUP(B71,A8:A20,B8:B20),0))</f>
        <v>911.589</v>
      </c>
    </row>
    <row r="84" customFormat="false" ht="21.75" hidden="false" customHeight="true" outlineLevel="0" collapsed="false">
      <c r="A84" s="16" t="s">
        <v>68</v>
      </c>
      <c r="B84" s="16"/>
      <c r="C84" s="16"/>
      <c r="D84" s="16"/>
      <c r="E84" s="16"/>
      <c r="F84" s="16"/>
      <c r="G84" s="16"/>
      <c r="H84" s="16"/>
      <c r="I84" s="16"/>
    </row>
    <row r="86" customFormat="false" ht="15" hidden="false" customHeight="true" outlineLevel="0" collapsed="false">
      <c r="A86" s="26" t="s">
        <v>69</v>
      </c>
      <c r="B86" s="26"/>
      <c r="D86" s="26" t="s">
        <v>70</v>
      </c>
      <c r="E86" s="26"/>
      <c r="G86" s="26" t="s">
        <v>71</v>
      </c>
      <c r="H86" s="26"/>
    </row>
    <row r="87" customFormat="false" ht="21.75" hidden="false" customHeight="true" outlineLevel="0" collapsed="false">
      <c r="A87" s="17" t="s">
        <v>72</v>
      </c>
      <c r="B87" s="17"/>
      <c r="D87" s="17" t="s">
        <v>73</v>
      </c>
      <c r="E87" s="17"/>
      <c r="G87" s="17" t="s">
        <v>73</v>
      </c>
      <c r="H87" s="17"/>
    </row>
    <row r="89" customFormat="false" ht="15" hidden="false" customHeight="true" outlineLevel="0" collapsed="false">
      <c r="A89" s="18" t="s">
        <v>74</v>
      </c>
      <c r="B89" s="18" t="s">
        <v>23</v>
      </c>
      <c r="D89" s="18" t="s">
        <v>74</v>
      </c>
      <c r="E89" s="18" t="s">
        <v>23</v>
      </c>
      <c r="G89" s="18" t="s">
        <v>74</v>
      </c>
      <c r="H89" s="18" t="s">
        <v>23</v>
      </c>
    </row>
    <row r="90" customFormat="false" ht="15" hidden="false" customHeight="true" outlineLevel="0" collapsed="false">
      <c r="A90" s="22" t="n">
        <v>30</v>
      </c>
      <c r="B90" s="20" t="n">
        <v>0</v>
      </c>
      <c r="D90" s="22" t="n">
        <v>30</v>
      </c>
      <c r="E90" s="20" t="n">
        <v>0</v>
      </c>
      <c r="G90" s="22" t="n">
        <v>30</v>
      </c>
      <c r="H90" s="20" t="n">
        <v>0</v>
      </c>
    </row>
    <row r="91" customFormat="false" ht="15" hidden="false" customHeight="true" outlineLevel="0" collapsed="false">
      <c r="A91" s="22" t="n">
        <v>32</v>
      </c>
      <c r="B91" s="20" t="n">
        <v>0</v>
      </c>
      <c r="D91" s="22" t="n">
        <v>32</v>
      </c>
      <c r="E91" s="20" t="n">
        <v>0</v>
      </c>
      <c r="G91" s="22" t="n">
        <v>32</v>
      </c>
      <c r="H91" s="20" t="n">
        <v>0</v>
      </c>
    </row>
    <row r="92" customFormat="false" ht="15" hidden="false" customHeight="true" outlineLevel="0" collapsed="false">
      <c r="A92" s="22" t="n">
        <v>34</v>
      </c>
      <c r="B92" s="20" t="n">
        <v>0.17</v>
      </c>
      <c r="D92" s="22" t="n">
        <v>34</v>
      </c>
      <c r="E92" s="20" t="n">
        <v>0.18</v>
      </c>
      <c r="G92" s="22" t="n">
        <v>34</v>
      </c>
      <c r="H92" s="20" t="n">
        <v>0.18</v>
      </c>
    </row>
    <row r="93" customFormat="false" ht="15" hidden="false" customHeight="true" outlineLevel="0" collapsed="false">
      <c r="A93" s="22" t="n">
        <v>36</v>
      </c>
      <c r="B93" s="20" t="n">
        <v>0.17</v>
      </c>
      <c r="D93" s="22" t="n">
        <v>36</v>
      </c>
      <c r="E93" s="20" t="n">
        <v>0.18</v>
      </c>
      <c r="G93" s="22" t="n">
        <v>36</v>
      </c>
      <c r="H93" s="20" t="n">
        <v>0.18</v>
      </c>
    </row>
    <row r="94" customFormat="false" ht="15" hidden="false" customHeight="true" outlineLevel="0" collapsed="false">
      <c r="A94" s="22" t="n">
        <v>38</v>
      </c>
      <c r="B94" s="20" t="n">
        <v>0.34</v>
      </c>
      <c r="D94" s="22" t="n">
        <v>38</v>
      </c>
      <c r="E94" s="20" t="n">
        <v>0.36</v>
      </c>
      <c r="G94" s="22" t="n">
        <v>38</v>
      </c>
      <c r="H94" s="20" t="n">
        <v>0.36</v>
      </c>
    </row>
    <row r="95" customFormat="false" ht="15" hidden="false" customHeight="true" outlineLevel="0" collapsed="false">
      <c r="A95" s="22" t="n">
        <v>40</v>
      </c>
      <c r="B95" s="20" t="n">
        <v>0.34</v>
      </c>
      <c r="D95" s="22" t="n">
        <v>40</v>
      </c>
      <c r="E95" s="20" t="n">
        <v>0.36</v>
      </c>
      <c r="G95" s="22" t="n">
        <v>40</v>
      </c>
      <c r="H95" s="20" t="n">
        <v>0.36</v>
      </c>
    </row>
    <row r="96" customFormat="false" ht="15" hidden="false" customHeight="true" outlineLevel="0" collapsed="false">
      <c r="A96" s="22" t="n">
        <v>42</v>
      </c>
      <c r="B96" s="20" t="n">
        <v>0.51</v>
      </c>
      <c r="D96" s="22" t="n">
        <v>42</v>
      </c>
      <c r="E96" s="20" t="n">
        <v>0.54</v>
      </c>
      <c r="G96" s="22" t="n">
        <v>42</v>
      </c>
      <c r="H96" s="20" t="n">
        <v>0.54</v>
      </c>
    </row>
    <row r="97" customFormat="false" ht="15" hidden="false" customHeight="true" outlineLevel="0" collapsed="false">
      <c r="A97" s="22" t="n">
        <v>44</v>
      </c>
      <c r="B97" s="20" t="n">
        <v>0.51</v>
      </c>
      <c r="D97" s="22" t="n">
        <v>44</v>
      </c>
      <c r="E97" s="20" t="n">
        <v>0.54</v>
      </c>
      <c r="G97" s="22" t="n">
        <v>44</v>
      </c>
      <c r="H97" s="20" t="n">
        <v>0.54</v>
      </c>
    </row>
    <row r="98" customFormat="false" ht="15" hidden="false" customHeight="true" outlineLevel="0" collapsed="false">
      <c r="A98" s="22" t="n">
        <v>46</v>
      </c>
      <c r="B98" s="20" t="n">
        <v>0.68</v>
      </c>
      <c r="D98" s="22" t="n">
        <v>46</v>
      </c>
      <c r="E98" s="20" t="n">
        <v>0.72</v>
      </c>
      <c r="G98" s="22" t="n">
        <v>46</v>
      </c>
      <c r="H98" s="20" t="n">
        <v>0.72</v>
      </c>
    </row>
    <row r="99" customFormat="false" ht="15" hidden="false" customHeight="true" outlineLevel="0" collapsed="false">
      <c r="A99" s="22" t="n">
        <v>48</v>
      </c>
      <c r="B99" s="20" t="n">
        <v>0.68</v>
      </c>
      <c r="D99" s="22" t="n">
        <v>48</v>
      </c>
      <c r="E99" s="20" t="n">
        <v>0.72</v>
      </c>
      <c r="G99" s="22" t="n">
        <v>48</v>
      </c>
      <c r="H99" s="20" t="n">
        <v>0.72</v>
      </c>
    </row>
    <row r="100" customFormat="false" ht="15" hidden="false" customHeight="true" outlineLevel="0" collapsed="false">
      <c r="A100" s="22" t="n">
        <v>50</v>
      </c>
      <c r="B100" s="20" t="n">
        <v>0.85</v>
      </c>
      <c r="D100" s="22" t="n">
        <v>50</v>
      </c>
      <c r="E100" s="20" t="n">
        <v>0.9</v>
      </c>
      <c r="G100" s="22" t="n">
        <v>50</v>
      </c>
      <c r="H100" s="20" t="n">
        <v>0.9</v>
      </c>
    </row>
    <row r="101" customFormat="false" ht="15" hidden="false" customHeight="true" outlineLevel="0" collapsed="false">
      <c r="A101" s="22" t="n">
        <v>52</v>
      </c>
      <c r="B101" s="20" t="n">
        <v>0.85</v>
      </c>
      <c r="D101" s="22" t="n">
        <v>52</v>
      </c>
      <c r="E101" s="20" t="n">
        <v>0.9</v>
      </c>
      <c r="G101" s="22" t="n">
        <v>52</v>
      </c>
      <c r="H101" s="20" t="n">
        <v>0.9</v>
      </c>
    </row>
    <row r="102" customFormat="false" ht="15" hidden="false" customHeight="false" outlineLevel="0" collapsed="false">
      <c r="A102" s="22" t="n">
        <v>54</v>
      </c>
      <c r="B102" s="20" t="n">
        <v>1.02</v>
      </c>
      <c r="D102" s="22" t="n">
        <v>54</v>
      </c>
      <c r="E102" s="20" t="n">
        <v>1.08</v>
      </c>
      <c r="G102" s="22" t="n">
        <v>54</v>
      </c>
      <c r="H102" s="20" t="n">
        <v>1.08</v>
      </c>
    </row>
    <row r="103" customFormat="false" ht="15" hidden="false" customHeight="false" outlineLevel="0" collapsed="false">
      <c r="A103" s="22" t="n">
        <v>56</v>
      </c>
      <c r="B103" s="20" t="n">
        <v>1.02</v>
      </c>
      <c r="D103" s="22" t="n">
        <v>56</v>
      </c>
      <c r="E103" s="20" t="n">
        <v>1.08</v>
      </c>
      <c r="G103" s="22" t="n">
        <v>56</v>
      </c>
      <c r="H103" s="20" t="n">
        <v>1.08</v>
      </c>
    </row>
    <row r="104" customFormat="false" ht="21.75" hidden="false" customHeight="true" outlineLevel="0" collapsed="false">
      <c r="A104" s="22" t="n">
        <v>58</v>
      </c>
      <c r="B104" s="20" t="n">
        <v>1.19</v>
      </c>
      <c r="D104" s="22" t="n">
        <v>58</v>
      </c>
      <c r="E104" s="20" t="n">
        <v>1.26</v>
      </c>
      <c r="G104" s="22" t="n">
        <v>58</v>
      </c>
      <c r="H104" s="20" t="n">
        <v>1.26</v>
      </c>
    </row>
    <row r="105" customFormat="false" ht="15" hidden="false" customHeight="false" outlineLevel="0" collapsed="false">
      <c r="A105" s="22" t="n">
        <v>60</v>
      </c>
      <c r="B105" s="20" t="n">
        <v>1.19</v>
      </c>
      <c r="D105" s="22" t="n">
        <v>60</v>
      </c>
      <c r="E105" s="20" t="n">
        <v>1.26</v>
      </c>
      <c r="G105" s="22" t="n">
        <v>60</v>
      </c>
      <c r="H105" s="20" t="n">
        <v>1.26</v>
      </c>
    </row>
    <row r="106" customFormat="false" ht="15" hidden="false" customHeight="true" outlineLevel="0" collapsed="false">
      <c r="A106" s="22" t="n">
        <v>62</v>
      </c>
      <c r="B106" s="20" t="n">
        <v>1.36</v>
      </c>
      <c r="D106" s="22" t="n">
        <v>62</v>
      </c>
      <c r="E106" s="20" t="n">
        <v>1.44</v>
      </c>
      <c r="G106" s="22" t="n">
        <v>62</v>
      </c>
      <c r="H106" s="20" t="n">
        <v>1.44</v>
      </c>
    </row>
    <row r="107" customFormat="false" ht="21.75" hidden="false" customHeight="true" outlineLevel="0" collapsed="false">
      <c r="A107" s="22" t="n">
        <v>64</v>
      </c>
      <c r="B107" s="20" t="n">
        <v>1.36</v>
      </c>
      <c r="D107" s="22" t="n">
        <v>64</v>
      </c>
      <c r="E107" s="20" t="n">
        <v>1.44</v>
      </c>
      <c r="G107" s="22" t="n">
        <v>64</v>
      </c>
      <c r="H107" s="20" t="n">
        <v>1.44</v>
      </c>
    </row>
    <row r="108" customFormat="false" ht="15" hidden="false" customHeight="false" outlineLevel="0" collapsed="false">
      <c r="A108" s="22" t="n">
        <v>66</v>
      </c>
      <c r="B108" s="20" t="n">
        <v>1.53</v>
      </c>
      <c r="D108" s="22" t="n">
        <v>66</v>
      </c>
      <c r="E108" s="20" t="n">
        <v>1.62</v>
      </c>
      <c r="G108" s="22" t="n">
        <v>66</v>
      </c>
      <c r="H108" s="20" t="n">
        <v>1.62</v>
      </c>
    </row>
    <row r="109" customFormat="false" ht="15" hidden="false" customHeight="true" outlineLevel="0" collapsed="false">
      <c r="A109" s="22" t="n">
        <v>68</v>
      </c>
      <c r="B109" s="20" t="n">
        <v>1.53</v>
      </c>
      <c r="D109" s="22" t="n">
        <v>68</v>
      </c>
      <c r="E109" s="20" t="n">
        <v>1.62</v>
      </c>
      <c r="G109" s="22" t="n">
        <v>68</v>
      </c>
      <c r="H109" s="20" t="n">
        <v>1.62</v>
      </c>
    </row>
    <row r="110" customFormat="false" ht="15" hidden="false" customHeight="true" outlineLevel="0" collapsed="false">
      <c r="A110" s="22" t="n">
        <v>70</v>
      </c>
      <c r="B110" s="20" t="n">
        <v>1.7</v>
      </c>
      <c r="D110" s="22" t="n">
        <v>70</v>
      </c>
      <c r="E110" s="20" t="n">
        <v>1.8</v>
      </c>
      <c r="G110" s="22" t="n">
        <v>70</v>
      </c>
      <c r="H110" s="20" t="n">
        <v>1.8</v>
      </c>
    </row>
    <row r="111" customFormat="false" ht="15" hidden="false" customHeight="true" outlineLevel="0" collapsed="false">
      <c r="A111" s="22" t="n">
        <v>72</v>
      </c>
      <c r="B111" s="20" t="n">
        <v>1.7</v>
      </c>
      <c r="D111" s="22" t="n">
        <v>72</v>
      </c>
      <c r="E111" s="20" t="n">
        <v>1.8</v>
      </c>
      <c r="G111" s="22" t="n">
        <v>72</v>
      </c>
      <c r="H111" s="20" t="n">
        <v>1.8</v>
      </c>
    </row>
    <row r="112" customFormat="false" ht="15" hidden="false" customHeight="true" outlineLevel="0" collapsed="false">
      <c r="A112" s="22" t="n">
        <v>74</v>
      </c>
      <c r="B112" s="20" t="n">
        <v>1.87</v>
      </c>
      <c r="D112" s="22" t="n">
        <v>74</v>
      </c>
      <c r="E112" s="20" t="n">
        <v>1.98</v>
      </c>
      <c r="G112" s="22" t="n">
        <v>74</v>
      </c>
      <c r="H112" s="20" t="n">
        <v>1.98</v>
      </c>
    </row>
    <row r="113" customFormat="false" ht="15" hidden="false" customHeight="true" outlineLevel="0" collapsed="false">
      <c r="A113" s="22" t="n">
        <v>76</v>
      </c>
      <c r="B113" s="20" t="n">
        <v>1.87</v>
      </c>
      <c r="D113" s="22" t="n">
        <v>76</v>
      </c>
      <c r="E113" s="20" t="n">
        <v>1.98</v>
      </c>
      <c r="G113" s="22" t="n">
        <v>76</v>
      </c>
      <c r="H113" s="20" t="n">
        <v>1.98</v>
      </c>
    </row>
    <row r="114" customFormat="false" ht="15" hidden="false" customHeight="true" outlineLevel="0" collapsed="false">
      <c r="A114" s="22" t="n">
        <v>78</v>
      </c>
      <c r="B114" s="20" t="n">
        <v>2.04</v>
      </c>
      <c r="D114" s="22" t="n">
        <v>78</v>
      </c>
      <c r="E114" s="20" t="n">
        <v>2.16</v>
      </c>
      <c r="G114" s="22" t="n">
        <v>78</v>
      </c>
      <c r="H114" s="20" t="n">
        <v>2.16</v>
      </c>
    </row>
    <row r="115" customFormat="false" ht="15" hidden="false" customHeight="true" outlineLevel="0" collapsed="false">
      <c r="A115" s="22" t="n">
        <v>80</v>
      </c>
      <c r="B115" s="20" t="n">
        <v>2.04</v>
      </c>
      <c r="D115" s="22" t="n">
        <v>80</v>
      </c>
      <c r="E115" s="20" t="n">
        <v>2.16</v>
      </c>
      <c r="G115" s="22" t="n">
        <v>80</v>
      </c>
      <c r="H115" s="20" t="n">
        <v>2.16</v>
      </c>
    </row>
    <row r="116" customFormat="false" ht="15" hidden="false" customHeight="true" outlineLevel="0" collapsed="false">
      <c r="A116" s="22" t="n">
        <v>82</v>
      </c>
      <c r="B116" s="20" t="n">
        <v>2.21</v>
      </c>
      <c r="D116" s="22" t="n">
        <v>82</v>
      </c>
      <c r="E116" s="20" t="n">
        <v>2.34</v>
      </c>
      <c r="G116" s="22" t="n">
        <v>82</v>
      </c>
      <c r="H116" s="20" t="n">
        <v>2.34</v>
      </c>
    </row>
    <row r="117" customFormat="false" ht="15" hidden="false" customHeight="true" outlineLevel="0" collapsed="false">
      <c r="A117" s="22" t="n">
        <v>84</v>
      </c>
      <c r="B117" s="20" t="n">
        <v>2.21</v>
      </c>
      <c r="D117" s="22" t="n">
        <v>84</v>
      </c>
      <c r="E117" s="20" t="n">
        <v>2.34</v>
      </c>
      <c r="G117" s="22" t="n">
        <v>84</v>
      </c>
      <c r="H117" s="20" t="n">
        <v>2.34</v>
      </c>
    </row>
    <row r="118" customFormat="false" ht="15" hidden="false" customHeight="true" outlineLevel="0" collapsed="false">
      <c r="A118" s="22" t="n">
        <v>86</v>
      </c>
      <c r="B118" s="20" t="n">
        <v>2.38</v>
      </c>
      <c r="D118" s="22" t="n">
        <v>86</v>
      </c>
      <c r="E118" s="20" t="n">
        <v>2.52</v>
      </c>
      <c r="G118" s="22" t="n">
        <v>86</v>
      </c>
      <c r="H118" s="20" t="n">
        <v>2.52</v>
      </c>
    </row>
    <row r="119" customFormat="false" ht="15" hidden="false" customHeight="true" outlineLevel="0" collapsed="false">
      <c r="A119" s="22" t="n">
        <v>88</v>
      </c>
      <c r="B119" s="20" t="n">
        <v>2.38</v>
      </c>
      <c r="D119" s="22" t="n">
        <v>88</v>
      </c>
      <c r="E119" s="20" t="n">
        <v>2.52</v>
      </c>
      <c r="G119" s="22" t="n">
        <v>88</v>
      </c>
      <c r="H119" s="20" t="n">
        <v>2.52</v>
      </c>
    </row>
    <row r="120" customFormat="false" ht="15" hidden="false" customHeight="true" outlineLevel="0" collapsed="false">
      <c r="A120" s="22" t="n">
        <v>90</v>
      </c>
      <c r="B120" s="20" t="n">
        <v>2.55</v>
      </c>
      <c r="D120" s="22" t="n">
        <v>90</v>
      </c>
      <c r="E120" s="20" t="n">
        <v>2.7</v>
      </c>
      <c r="G120" s="22" t="n">
        <v>90</v>
      </c>
      <c r="H120" s="20" t="n">
        <v>2.7</v>
      </c>
    </row>
    <row r="121" customFormat="false" ht="15" hidden="false" customHeight="true" outlineLevel="0" collapsed="false">
      <c r="A121" s="22" t="n">
        <v>92</v>
      </c>
      <c r="B121" s="20" t="n">
        <v>2.55</v>
      </c>
      <c r="D121" s="22" t="n">
        <v>92</v>
      </c>
      <c r="E121" s="20" t="n">
        <v>2.7</v>
      </c>
      <c r="G121" s="22" t="n">
        <v>92</v>
      </c>
      <c r="H121" s="20" t="n">
        <v>2.7</v>
      </c>
    </row>
    <row r="122" customFormat="false" ht="15" hidden="false" customHeight="false" outlineLevel="0" collapsed="false">
      <c r="A122" s="22" t="n">
        <v>94</v>
      </c>
      <c r="B122" s="20" t="n">
        <v>2.72</v>
      </c>
      <c r="D122" s="22" t="n">
        <v>94</v>
      </c>
      <c r="E122" s="20" t="n">
        <v>2.88</v>
      </c>
      <c r="G122" s="22" t="n">
        <v>94</v>
      </c>
      <c r="H122" s="20" t="n">
        <v>2.88</v>
      </c>
    </row>
    <row r="123" customFormat="false" ht="15" hidden="false" customHeight="false" outlineLevel="0" collapsed="false">
      <c r="A123" s="22" t="n">
        <v>96</v>
      </c>
      <c r="B123" s="20" t="n">
        <v>2.72</v>
      </c>
      <c r="D123" s="22" t="n">
        <v>96</v>
      </c>
      <c r="E123" s="20" t="n">
        <v>2.88</v>
      </c>
      <c r="G123" s="22" t="n">
        <v>96</v>
      </c>
      <c r="H123" s="20" t="n">
        <v>2.88</v>
      </c>
    </row>
    <row r="124" customFormat="false" ht="15" hidden="false" customHeight="false" outlineLevel="0" collapsed="false">
      <c r="A124" s="22" t="n">
        <v>98</v>
      </c>
      <c r="B124" s="20" t="n">
        <v>2.89</v>
      </c>
      <c r="D124" s="22" t="n">
        <v>98</v>
      </c>
      <c r="E124" s="20" t="n">
        <v>3.06</v>
      </c>
      <c r="G124" s="22" t="n">
        <v>98</v>
      </c>
      <c r="H124" s="20" t="n">
        <v>3.06</v>
      </c>
    </row>
    <row r="125" customFormat="false" ht="15" hidden="false" customHeight="false" outlineLevel="0" collapsed="false">
      <c r="A125" s="22" t="n">
        <v>100</v>
      </c>
      <c r="B125" s="20" t="n">
        <v>2.89</v>
      </c>
      <c r="D125" s="22" t="n">
        <v>100</v>
      </c>
      <c r="E125" s="20" t="n">
        <v>3.06</v>
      </c>
      <c r="G125" s="22" t="n">
        <v>100</v>
      </c>
      <c r="H125" s="20" t="n">
        <v>3.06</v>
      </c>
    </row>
    <row r="126" customFormat="false" ht="15" hidden="false" customHeight="false" outlineLevel="0" collapsed="false">
      <c r="A126" s="22" t="n">
        <v>102</v>
      </c>
      <c r="B126" s="20" t="n">
        <v>3.06</v>
      </c>
      <c r="D126" s="22" t="n">
        <v>102</v>
      </c>
      <c r="E126" s="20" t="n">
        <v>3.24</v>
      </c>
      <c r="G126" s="22" t="n">
        <v>102</v>
      </c>
      <c r="H126" s="20" t="n">
        <v>3.24</v>
      </c>
    </row>
    <row r="127" customFormat="false" ht="15" hidden="false" customHeight="false" outlineLevel="0" collapsed="false">
      <c r="A127" s="22" t="n">
        <v>104</v>
      </c>
      <c r="B127" s="20" t="n">
        <v>3.06</v>
      </c>
      <c r="D127" s="22" t="n">
        <v>104</v>
      </c>
      <c r="E127" s="20" t="n">
        <v>3.24</v>
      </c>
      <c r="G127" s="22" t="n">
        <v>104</v>
      </c>
      <c r="H127" s="20" t="n">
        <v>3.24</v>
      </c>
    </row>
    <row r="128" customFormat="false" ht="15" hidden="false" customHeight="false" outlineLevel="0" collapsed="false">
      <c r="A128" s="22" t="n">
        <v>106</v>
      </c>
      <c r="B128" s="20" t="n">
        <v>3.23</v>
      </c>
      <c r="D128" s="22" t="n">
        <v>106</v>
      </c>
      <c r="E128" s="20" t="n">
        <v>3.42</v>
      </c>
      <c r="G128" s="22" t="n">
        <v>106</v>
      </c>
      <c r="H128" s="20" t="n">
        <v>3.42</v>
      </c>
    </row>
    <row r="129" customFormat="false" ht="15" hidden="false" customHeight="false" outlineLevel="0" collapsed="false">
      <c r="A129" s="22" t="n">
        <v>108</v>
      </c>
      <c r="B129" s="20" t="n">
        <v>3.23</v>
      </c>
      <c r="D129" s="22" t="n">
        <v>108</v>
      </c>
      <c r="E129" s="20" t="n">
        <v>3.42</v>
      </c>
      <c r="G129" s="22" t="n">
        <v>108</v>
      </c>
      <c r="H129" s="20" t="n">
        <v>3.42</v>
      </c>
    </row>
    <row r="130" customFormat="false" ht="15" hidden="false" customHeight="false" outlineLevel="0" collapsed="false">
      <c r="A130" s="22" t="n">
        <v>110</v>
      </c>
      <c r="B130" s="20" t="n">
        <v>3.4</v>
      </c>
      <c r="D130" s="22" t="n">
        <v>110</v>
      </c>
      <c r="E130" s="20" t="n">
        <v>3.6</v>
      </c>
      <c r="G130" s="22" t="n">
        <v>110</v>
      </c>
      <c r="H130" s="20" t="n">
        <v>3.6</v>
      </c>
    </row>
    <row r="131" customFormat="false" ht="15" hidden="false" customHeight="false" outlineLevel="0" collapsed="false">
      <c r="A131" s="22" t="n">
        <v>112</v>
      </c>
      <c r="B131" s="20" t="n">
        <v>3.4</v>
      </c>
      <c r="D131" s="22" t="n">
        <v>112</v>
      </c>
      <c r="E131" s="20" t="n">
        <v>3.6</v>
      </c>
      <c r="G131" s="22" t="n">
        <v>112</v>
      </c>
      <c r="H131" s="20" t="n">
        <v>3.6</v>
      </c>
    </row>
    <row r="132" customFormat="false" ht="15" hidden="false" customHeight="false" outlineLevel="0" collapsed="false">
      <c r="A132" s="22" t="n">
        <v>114</v>
      </c>
      <c r="B132" s="20" t="n">
        <v>3.57</v>
      </c>
      <c r="D132" s="22" t="n">
        <v>114</v>
      </c>
      <c r="E132" s="20" t="n">
        <v>3.78</v>
      </c>
      <c r="G132" s="22" t="n">
        <v>114</v>
      </c>
      <c r="H132" s="20" t="n">
        <v>3.78</v>
      </c>
    </row>
    <row r="133" customFormat="false" ht="15" hidden="false" customHeight="false" outlineLevel="0" collapsed="false">
      <c r="A133" s="22" t="n">
        <v>116</v>
      </c>
      <c r="B133" s="20" t="n">
        <v>3.57</v>
      </c>
      <c r="D133" s="22" t="n">
        <v>116</v>
      </c>
      <c r="E133" s="20" t="n">
        <v>3.78</v>
      </c>
      <c r="G133" s="22" t="n">
        <v>116</v>
      </c>
      <c r="H133" s="20" t="n">
        <v>3.78</v>
      </c>
    </row>
    <row r="134" customFormat="false" ht="15" hidden="false" customHeight="false" outlineLevel="0" collapsed="false">
      <c r="A134" s="22" t="n">
        <v>118</v>
      </c>
      <c r="B134" s="20" t="n">
        <v>3.74</v>
      </c>
      <c r="D134" s="22" t="n">
        <v>118</v>
      </c>
      <c r="E134" s="20" t="n">
        <v>3.96</v>
      </c>
      <c r="G134" s="22" t="n">
        <v>118</v>
      </c>
      <c r="H134" s="20" t="n">
        <v>3.96</v>
      </c>
    </row>
    <row r="135" customFormat="false" ht="15" hidden="false" customHeight="false" outlineLevel="0" collapsed="false">
      <c r="A135" s="22" t="n">
        <v>120</v>
      </c>
      <c r="B135" s="20" t="n">
        <v>3.74</v>
      </c>
      <c r="D135" s="22" t="n">
        <v>120</v>
      </c>
      <c r="E135" s="20" t="n">
        <v>3.96</v>
      </c>
      <c r="G135" s="22" t="n">
        <v>120</v>
      </c>
      <c r="H135" s="20" t="n">
        <v>3.96</v>
      </c>
    </row>
    <row r="136" customFormat="false" ht="15" hidden="false" customHeight="false" outlineLevel="0" collapsed="false">
      <c r="A136" s="22" t="n">
        <v>122</v>
      </c>
      <c r="B136" s="20" t="n">
        <v>3.91</v>
      </c>
      <c r="D136" s="22" t="n">
        <v>122</v>
      </c>
      <c r="E136" s="20" t="n">
        <v>4.14</v>
      </c>
      <c r="G136" s="22" t="n">
        <v>122</v>
      </c>
      <c r="H136" s="20" t="n">
        <v>4.14</v>
      </c>
    </row>
    <row r="137" customFormat="false" ht="15" hidden="false" customHeight="false" outlineLevel="0" collapsed="false">
      <c r="A137" s="22" t="n">
        <v>124</v>
      </c>
      <c r="B137" s="20" t="n">
        <v>3.91</v>
      </c>
      <c r="D137" s="22" t="n">
        <v>124</v>
      </c>
      <c r="E137" s="20" t="n">
        <v>4.14</v>
      </c>
      <c r="G137" s="22" t="n">
        <v>124</v>
      </c>
      <c r="H137" s="20" t="n">
        <v>4.14</v>
      </c>
    </row>
    <row r="138" customFormat="false" ht="15" hidden="false" customHeight="false" outlineLevel="0" collapsed="false">
      <c r="A138" s="22" t="n">
        <v>126</v>
      </c>
      <c r="B138" s="20" t="n">
        <v>4.08</v>
      </c>
      <c r="D138" s="22" t="n">
        <v>126</v>
      </c>
      <c r="E138" s="20" t="n">
        <v>4.32</v>
      </c>
      <c r="G138" s="22" t="n">
        <v>126</v>
      </c>
      <c r="H138" s="20" t="n">
        <v>4.32</v>
      </c>
    </row>
    <row r="139" customFormat="false" ht="15" hidden="false" customHeight="false" outlineLevel="0" collapsed="false">
      <c r="A139" s="22" t="n">
        <v>128</v>
      </c>
      <c r="B139" s="20" t="n">
        <v>4.08</v>
      </c>
      <c r="D139" s="22" t="n">
        <v>128</v>
      </c>
      <c r="E139" s="20" t="n">
        <v>4.32</v>
      </c>
      <c r="G139" s="22" t="n">
        <v>128</v>
      </c>
      <c r="H139" s="20" t="n">
        <v>4.32</v>
      </c>
    </row>
    <row r="140" customFormat="false" ht="15" hidden="false" customHeight="false" outlineLevel="0" collapsed="false">
      <c r="A140" s="22" t="n">
        <v>130</v>
      </c>
      <c r="B140" s="20" t="n">
        <v>4.25</v>
      </c>
      <c r="D140" s="22" t="n">
        <v>130</v>
      </c>
      <c r="E140" s="20" t="n">
        <v>4.5</v>
      </c>
      <c r="G140" s="22" t="n">
        <v>130</v>
      </c>
      <c r="H140" s="20" t="n">
        <v>4.5</v>
      </c>
    </row>
    <row r="141" customFormat="false" ht="15" hidden="false" customHeight="false" outlineLevel="0" collapsed="false">
      <c r="A141" s="22" t="n">
        <v>132</v>
      </c>
      <c r="B141" s="20" t="n">
        <v>4.25</v>
      </c>
      <c r="D141" s="22" t="n">
        <v>132</v>
      </c>
      <c r="E141" s="20" t="n">
        <v>4.5</v>
      </c>
      <c r="G141" s="22" t="n">
        <v>132</v>
      </c>
      <c r="H141" s="20" t="n">
        <v>4.5</v>
      </c>
    </row>
    <row r="142" customFormat="false" ht="15" hidden="false" customHeight="false" outlineLevel="0" collapsed="false">
      <c r="A142" s="22" t="n">
        <v>134</v>
      </c>
      <c r="B142" s="20" t="n">
        <v>4.42</v>
      </c>
      <c r="D142" s="22" t="n">
        <v>134</v>
      </c>
      <c r="E142" s="20" t="n">
        <v>4.68</v>
      </c>
      <c r="G142" s="22" t="n">
        <v>134</v>
      </c>
      <c r="H142" s="20" t="n">
        <v>4.68</v>
      </c>
    </row>
    <row r="143" customFormat="false" ht="15" hidden="false" customHeight="false" outlineLevel="0" collapsed="false">
      <c r="A143" s="22" t="n">
        <v>136</v>
      </c>
      <c r="B143" s="20" t="n">
        <v>4.42</v>
      </c>
      <c r="D143" s="22" t="n">
        <v>136</v>
      </c>
      <c r="E143" s="20" t="n">
        <v>4.68</v>
      </c>
      <c r="G143" s="22" t="n">
        <v>136</v>
      </c>
      <c r="H143" s="20" t="n">
        <v>4.68</v>
      </c>
    </row>
    <row r="144" customFormat="false" ht="15" hidden="false" customHeight="false" outlineLevel="0" collapsed="false">
      <c r="A144" s="22" t="n">
        <v>138</v>
      </c>
      <c r="B144" s="20" t="n">
        <v>4.59</v>
      </c>
      <c r="D144" s="22" t="n">
        <v>138</v>
      </c>
      <c r="E144" s="20" t="n">
        <v>4.86</v>
      </c>
      <c r="G144" s="22" t="n">
        <v>138</v>
      </c>
      <c r="H144" s="20" t="n">
        <v>4.86</v>
      </c>
    </row>
    <row r="145" customFormat="false" ht="15" hidden="false" customHeight="false" outlineLevel="0" collapsed="false">
      <c r="A145" s="22" t="n">
        <v>140</v>
      </c>
      <c r="B145" s="20" t="n">
        <v>4.59</v>
      </c>
      <c r="D145" s="22" t="n">
        <v>140</v>
      </c>
      <c r="E145" s="20" t="n">
        <v>4.86</v>
      </c>
      <c r="G145" s="22" t="n">
        <v>140</v>
      </c>
      <c r="H145" s="20" t="n">
        <v>4.86</v>
      </c>
    </row>
    <row r="146" customFormat="false" ht="15" hidden="false" customHeight="false" outlineLevel="0" collapsed="false">
      <c r="A146" s="22" t="n">
        <v>142</v>
      </c>
      <c r="B146" s="20" t="n">
        <v>4.76</v>
      </c>
      <c r="D146" s="22" t="n">
        <v>142</v>
      </c>
      <c r="E146" s="20" t="n">
        <v>5.04</v>
      </c>
      <c r="G146" s="22" t="n">
        <v>142</v>
      </c>
      <c r="H146" s="20" t="n">
        <v>5.04</v>
      </c>
    </row>
    <row r="147" customFormat="false" ht="15" hidden="false" customHeight="false" outlineLevel="0" collapsed="false">
      <c r="A147" s="22" t="n">
        <v>144</v>
      </c>
      <c r="B147" s="20" t="n">
        <v>4.76</v>
      </c>
      <c r="D147" s="22" t="n">
        <v>144</v>
      </c>
      <c r="E147" s="20" t="n">
        <v>5.04</v>
      </c>
      <c r="G147" s="22" t="n">
        <v>144</v>
      </c>
      <c r="H147" s="20" t="n">
        <v>5.04</v>
      </c>
    </row>
    <row r="148" customFormat="false" ht="15" hidden="false" customHeight="false" outlineLevel="0" collapsed="false">
      <c r="A148" s="22" t="n">
        <v>146</v>
      </c>
      <c r="B148" s="20" t="n">
        <v>4.93</v>
      </c>
      <c r="D148" s="22" t="n">
        <v>146</v>
      </c>
      <c r="E148" s="20" t="n">
        <v>5.22</v>
      </c>
      <c r="G148" s="22" t="n">
        <v>146</v>
      </c>
      <c r="H148" s="20" t="n">
        <v>5.22</v>
      </c>
    </row>
    <row r="149" customFormat="false" ht="15" hidden="false" customHeight="false" outlineLevel="0" collapsed="false">
      <c r="A149" s="22" t="n">
        <v>148</v>
      </c>
      <c r="B149" s="20" t="n">
        <v>4.93</v>
      </c>
      <c r="D149" s="22" t="n">
        <v>148</v>
      </c>
      <c r="E149" s="20" t="n">
        <v>5.22</v>
      </c>
      <c r="G149" s="22" t="n">
        <v>148</v>
      </c>
      <c r="H149" s="20" t="n">
        <v>5.22</v>
      </c>
    </row>
    <row r="150" customFormat="false" ht="15" hidden="false" customHeight="false" outlineLevel="0" collapsed="false">
      <c r="A150" s="22" t="n">
        <v>150</v>
      </c>
      <c r="B150" s="20" t="n">
        <v>5.1</v>
      </c>
      <c r="D150" s="22" t="n">
        <v>150</v>
      </c>
      <c r="E150" s="20" t="n">
        <v>5.4</v>
      </c>
      <c r="G150" s="22" t="n">
        <v>150</v>
      </c>
      <c r="H150" s="20" t="n">
        <v>5.4</v>
      </c>
    </row>
    <row r="151" customFormat="false" ht="15" hidden="false" customHeight="false" outlineLevel="0" collapsed="false">
      <c r="A151" s="22" t="n">
        <v>152</v>
      </c>
      <c r="B151" s="20" t="n">
        <v>5.1</v>
      </c>
      <c r="D151" s="22" t="n">
        <v>152</v>
      </c>
      <c r="E151" s="20" t="n">
        <v>5.4</v>
      </c>
      <c r="G151" s="22" t="n">
        <v>152</v>
      </c>
      <c r="H151" s="20" t="n">
        <v>5.4</v>
      </c>
    </row>
    <row r="152" customFormat="false" ht="15" hidden="false" customHeight="false" outlineLevel="0" collapsed="false">
      <c r="A152" s="22" t="n">
        <v>154</v>
      </c>
      <c r="B152" s="20" t="n">
        <v>5.27</v>
      </c>
      <c r="D152" s="22" t="n">
        <v>154</v>
      </c>
      <c r="E152" s="20" t="n">
        <v>5.58</v>
      </c>
      <c r="G152" s="22" t="n">
        <v>154</v>
      </c>
      <c r="H152" s="20" t="n">
        <v>5.58</v>
      </c>
    </row>
    <row r="153" customFormat="false" ht="15" hidden="false" customHeight="false" outlineLevel="0" collapsed="false">
      <c r="A153" s="22" t="n">
        <v>156</v>
      </c>
      <c r="B153" s="20" t="n">
        <v>5.27</v>
      </c>
      <c r="D153" s="22" t="n">
        <v>156</v>
      </c>
      <c r="E153" s="20" t="n">
        <v>5.58</v>
      </c>
      <c r="G153" s="22" t="n">
        <v>156</v>
      </c>
      <c r="H153" s="20" t="n">
        <v>5.58</v>
      </c>
    </row>
    <row r="154" customFormat="false" ht="15" hidden="false" customHeight="false" outlineLevel="0" collapsed="false">
      <c r="A154" s="22" t="n">
        <v>158</v>
      </c>
      <c r="B154" s="20" t="n">
        <v>5.44</v>
      </c>
      <c r="D154" s="22" t="n">
        <v>158</v>
      </c>
      <c r="E154" s="20" t="n">
        <v>5.76</v>
      </c>
      <c r="G154" s="22" t="n">
        <v>158</v>
      </c>
      <c r="H154" s="20" t="n">
        <v>5.76</v>
      </c>
    </row>
    <row r="155" customFormat="false" ht="15" hidden="false" customHeight="false" outlineLevel="0" collapsed="false">
      <c r="A155" s="22" t="n">
        <v>160</v>
      </c>
      <c r="B155" s="20" t="n">
        <v>5.44</v>
      </c>
      <c r="D155" s="22" t="n">
        <v>160</v>
      </c>
      <c r="E155" s="20" t="n">
        <v>5.76</v>
      </c>
      <c r="G155" s="22" t="n">
        <v>160</v>
      </c>
      <c r="H155" s="20" t="n">
        <v>5.76</v>
      </c>
    </row>
    <row r="156" customFormat="false" ht="15" hidden="false" customHeight="false" outlineLevel="0" collapsed="false">
      <c r="A156" s="22" t="n">
        <v>162</v>
      </c>
      <c r="B156" s="20" t="n">
        <v>5.61</v>
      </c>
      <c r="D156" s="22" t="n">
        <v>162</v>
      </c>
      <c r="E156" s="20" t="n">
        <v>5.94</v>
      </c>
      <c r="G156" s="22" t="n">
        <v>162</v>
      </c>
      <c r="H156" s="20" t="n">
        <v>5.94</v>
      </c>
    </row>
    <row r="157" customFormat="false" ht="15" hidden="false" customHeight="false" outlineLevel="0" collapsed="false">
      <c r="A157" s="22" t="n">
        <v>164</v>
      </c>
      <c r="B157" s="20" t="n">
        <v>5.61</v>
      </c>
      <c r="D157" s="22" t="n">
        <v>164</v>
      </c>
      <c r="E157" s="20" t="n">
        <v>5.94</v>
      </c>
      <c r="G157" s="22" t="n">
        <v>164</v>
      </c>
      <c r="H157" s="20" t="n">
        <v>5.94</v>
      </c>
    </row>
    <row r="158" customFormat="false" ht="15" hidden="false" customHeight="false" outlineLevel="0" collapsed="false">
      <c r="A158" s="22" t="n">
        <v>166</v>
      </c>
      <c r="B158" s="20" t="n">
        <v>5.78</v>
      </c>
      <c r="D158" s="22" t="n">
        <v>166</v>
      </c>
      <c r="E158" s="20" t="n">
        <v>6.12</v>
      </c>
      <c r="G158" s="22" t="n">
        <v>166</v>
      </c>
      <c r="H158" s="20" t="n">
        <v>6.12</v>
      </c>
    </row>
    <row r="159" customFormat="false" ht="15" hidden="false" customHeight="false" outlineLevel="0" collapsed="false">
      <c r="A159" s="22" t="n">
        <v>168</v>
      </c>
      <c r="B159" s="20" t="n">
        <v>5.78</v>
      </c>
      <c r="D159" s="22" t="n">
        <v>168</v>
      </c>
      <c r="E159" s="20" t="n">
        <v>6.12</v>
      </c>
      <c r="G159" s="22" t="n">
        <v>168</v>
      </c>
      <c r="H159" s="20" t="n">
        <v>6.12</v>
      </c>
    </row>
    <row r="160" customFormat="false" ht="15" hidden="false" customHeight="false" outlineLevel="0" collapsed="false">
      <c r="A160" s="22" t="n">
        <v>170</v>
      </c>
      <c r="B160" s="20" t="n">
        <v>5.95</v>
      </c>
      <c r="D160" s="22" t="n">
        <v>170</v>
      </c>
      <c r="E160" s="20" t="n">
        <v>6.3</v>
      </c>
      <c r="G160" s="22" t="n">
        <v>170</v>
      </c>
      <c r="H160" s="20" t="n">
        <v>6.3</v>
      </c>
    </row>
    <row r="161" customFormat="false" ht="15" hidden="false" customHeight="false" outlineLevel="0" collapsed="false">
      <c r="A161" s="22" t="n">
        <v>172</v>
      </c>
      <c r="B161" s="20" t="n">
        <v>5.95</v>
      </c>
      <c r="D161" s="22" t="n">
        <v>172</v>
      </c>
      <c r="E161" s="20" t="n">
        <v>6.3</v>
      </c>
      <c r="G161" s="22" t="n">
        <v>172</v>
      </c>
      <c r="H161" s="20" t="n">
        <v>6.3</v>
      </c>
    </row>
    <row r="162" customFormat="false" ht="15" hidden="false" customHeight="false" outlineLevel="0" collapsed="false">
      <c r="A162" s="22" t="n">
        <v>174</v>
      </c>
      <c r="B162" s="20" t="n">
        <v>6.12</v>
      </c>
      <c r="D162" s="22" t="n">
        <v>174</v>
      </c>
      <c r="E162" s="20" t="n">
        <v>6.48</v>
      </c>
      <c r="G162" s="22" t="n">
        <v>174</v>
      </c>
      <c r="H162" s="20" t="n">
        <v>6.48</v>
      </c>
    </row>
    <row r="163" customFormat="false" ht="15" hidden="false" customHeight="false" outlineLevel="0" collapsed="false">
      <c r="A163" s="22" t="n">
        <v>176</v>
      </c>
      <c r="B163" s="20" t="n">
        <v>6.12</v>
      </c>
      <c r="D163" s="22" t="n">
        <v>176</v>
      </c>
      <c r="E163" s="20" t="n">
        <v>6.48</v>
      </c>
      <c r="G163" s="22" t="n">
        <v>176</v>
      </c>
      <c r="H163" s="20" t="n">
        <v>6.48</v>
      </c>
    </row>
    <row r="164" customFormat="false" ht="15" hidden="false" customHeight="false" outlineLevel="0" collapsed="false">
      <c r="A164" s="22" t="n">
        <v>178</v>
      </c>
      <c r="B164" s="20" t="n">
        <v>6.29</v>
      </c>
      <c r="D164" s="22" t="n">
        <v>178</v>
      </c>
      <c r="E164" s="20" t="n">
        <v>6.66</v>
      </c>
      <c r="G164" s="22" t="n">
        <v>178</v>
      </c>
      <c r="H164" s="20" t="n">
        <v>6.66</v>
      </c>
    </row>
    <row r="165" customFormat="false" ht="15" hidden="false" customHeight="false" outlineLevel="0" collapsed="false">
      <c r="A165" s="22" t="n">
        <v>180</v>
      </c>
      <c r="B165" s="20" t="n">
        <v>6.29</v>
      </c>
      <c r="D165" s="22" t="n">
        <v>180</v>
      </c>
      <c r="E165" s="20" t="n">
        <v>6.66</v>
      </c>
      <c r="G165" s="22" t="n">
        <v>180</v>
      </c>
      <c r="H165" s="20" t="n">
        <v>6.66</v>
      </c>
    </row>
    <row r="166" customFormat="false" ht="15" hidden="false" customHeight="false" outlineLevel="0" collapsed="false">
      <c r="A166" s="22" t="n">
        <v>182</v>
      </c>
      <c r="B166" s="20" t="n">
        <v>6.46</v>
      </c>
      <c r="D166" s="22" t="n">
        <v>182</v>
      </c>
      <c r="E166" s="20" t="n">
        <v>6.84</v>
      </c>
      <c r="G166" s="22" t="n">
        <v>182</v>
      </c>
      <c r="H166" s="20" t="n">
        <v>6.84</v>
      </c>
    </row>
    <row r="167" customFormat="false" ht="15" hidden="false" customHeight="false" outlineLevel="0" collapsed="false">
      <c r="A167" s="22" t="n">
        <v>184</v>
      </c>
      <c r="B167" s="20" t="n">
        <v>6.46</v>
      </c>
      <c r="D167" s="22" t="n">
        <v>184</v>
      </c>
      <c r="E167" s="20" t="n">
        <v>6.84</v>
      </c>
      <c r="G167" s="22" t="n">
        <v>184</v>
      </c>
      <c r="H167" s="20" t="n">
        <v>6.84</v>
      </c>
    </row>
    <row r="168" customFormat="false" ht="15" hidden="false" customHeight="false" outlineLevel="0" collapsed="false">
      <c r="A168" s="22" t="n">
        <v>186</v>
      </c>
      <c r="B168" s="20" t="n">
        <v>6.63</v>
      </c>
      <c r="D168" s="22" t="n">
        <v>186</v>
      </c>
      <c r="E168" s="20" t="n">
        <v>7.02</v>
      </c>
      <c r="G168" s="22" t="n">
        <v>186</v>
      </c>
      <c r="H168" s="20" t="n">
        <v>7.02</v>
      </c>
    </row>
    <row r="169" customFormat="false" ht="15" hidden="false" customHeight="false" outlineLevel="0" collapsed="false">
      <c r="A169" s="22" t="n">
        <v>188</v>
      </c>
      <c r="B169" s="20" t="n">
        <v>6.63</v>
      </c>
      <c r="D169" s="22" t="n">
        <v>188</v>
      </c>
      <c r="E169" s="20" t="n">
        <v>7.02</v>
      </c>
      <c r="G169" s="22" t="n">
        <v>188</v>
      </c>
      <c r="H169" s="20" t="n">
        <v>7.02</v>
      </c>
    </row>
    <row r="170" customFormat="false" ht="15" hidden="false" customHeight="false" outlineLevel="0" collapsed="false">
      <c r="A170" s="22" t="n">
        <v>190</v>
      </c>
      <c r="B170" s="20" t="n">
        <v>6.8</v>
      </c>
      <c r="D170" s="22" t="n">
        <v>190</v>
      </c>
      <c r="E170" s="20" t="n">
        <v>7.2</v>
      </c>
      <c r="G170" s="22" t="n">
        <v>190</v>
      </c>
      <c r="H170" s="20" t="n">
        <v>7.2</v>
      </c>
    </row>
    <row r="171" customFormat="false" ht="15" hidden="false" customHeight="false" outlineLevel="0" collapsed="false">
      <c r="A171" s="22" t="n">
        <v>192</v>
      </c>
      <c r="B171" s="20" t="n">
        <v>6.8</v>
      </c>
      <c r="D171" s="22" t="n">
        <v>192</v>
      </c>
      <c r="E171" s="20" t="n">
        <v>7.2</v>
      </c>
      <c r="G171" s="22" t="n">
        <v>192</v>
      </c>
      <c r="H171" s="20" t="n">
        <v>7.2</v>
      </c>
    </row>
    <row r="172" customFormat="false" ht="15" hidden="false" customHeight="false" outlineLevel="0" collapsed="false">
      <c r="A172" s="22" t="n">
        <v>194</v>
      </c>
      <c r="B172" s="20" t="n">
        <v>6.97</v>
      </c>
      <c r="D172" s="22" t="n">
        <v>194</v>
      </c>
      <c r="E172" s="20" t="n">
        <v>7.38</v>
      </c>
      <c r="G172" s="22" t="n">
        <v>194</v>
      </c>
      <c r="H172" s="20" t="n">
        <v>7.38</v>
      </c>
    </row>
    <row r="173" customFormat="false" ht="15" hidden="false" customHeight="false" outlineLevel="0" collapsed="false">
      <c r="A173" s="22" t="n">
        <v>196</v>
      </c>
      <c r="B173" s="20" t="n">
        <v>6.97</v>
      </c>
      <c r="D173" s="22" t="n">
        <v>196</v>
      </c>
      <c r="E173" s="20" t="n">
        <v>7.38</v>
      </c>
      <c r="G173" s="22" t="n">
        <v>196</v>
      </c>
      <c r="H173" s="20" t="n">
        <v>7.38</v>
      </c>
    </row>
    <row r="174" customFormat="false" ht="15" hidden="false" customHeight="false" outlineLevel="0" collapsed="false">
      <c r="A174" s="22" t="n">
        <v>198</v>
      </c>
      <c r="B174" s="20" t="n">
        <v>7.14</v>
      </c>
      <c r="D174" s="22" t="n">
        <v>198</v>
      </c>
      <c r="E174" s="20" t="n">
        <v>7.56</v>
      </c>
      <c r="G174" s="22" t="n">
        <v>198</v>
      </c>
      <c r="H174" s="20" t="n">
        <v>7.56</v>
      </c>
    </row>
    <row r="175" customFormat="false" ht="15" hidden="false" customHeight="false" outlineLevel="0" collapsed="false">
      <c r="A175" s="22" t="n">
        <v>200</v>
      </c>
      <c r="B175" s="20" t="n">
        <v>7.14</v>
      </c>
      <c r="D175" s="22" t="n">
        <v>200</v>
      </c>
      <c r="E175" s="20" t="n">
        <v>7.56</v>
      </c>
      <c r="G175" s="22" t="n">
        <v>200</v>
      </c>
      <c r="H175" s="20" t="n">
        <v>7.56</v>
      </c>
    </row>
    <row r="176" customFormat="false" ht="15" hidden="false" customHeight="false" outlineLevel="0" collapsed="false">
      <c r="A176" s="22" t="n">
        <v>202</v>
      </c>
      <c r="B176" s="20" t="n">
        <v>7.31</v>
      </c>
      <c r="D176" s="22" t="n">
        <v>202</v>
      </c>
      <c r="E176" s="20" t="n">
        <v>7.74</v>
      </c>
      <c r="G176" s="22" t="n">
        <v>202</v>
      </c>
      <c r="H176" s="20" t="n">
        <v>7.74</v>
      </c>
    </row>
    <row r="177" customFormat="false" ht="15" hidden="false" customHeight="false" outlineLevel="0" collapsed="false">
      <c r="A177" s="22" t="n">
        <v>204</v>
      </c>
      <c r="B177" s="20" t="n">
        <v>7.31</v>
      </c>
      <c r="D177" s="22" t="n">
        <v>204</v>
      </c>
      <c r="E177" s="20" t="n">
        <v>7.74</v>
      </c>
      <c r="G177" s="22" t="n">
        <v>204</v>
      </c>
      <c r="H177" s="20" t="n">
        <v>7.74</v>
      </c>
    </row>
    <row r="178" customFormat="false" ht="15" hidden="false" customHeight="false" outlineLevel="0" collapsed="false">
      <c r="A178" s="22" t="n">
        <v>206</v>
      </c>
      <c r="B178" s="20" t="n">
        <v>7.48</v>
      </c>
      <c r="D178" s="22" t="n">
        <v>206</v>
      </c>
      <c r="E178" s="20" t="n">
        <v>7.92</v>
      </c>
      <c r="G178" s="22" t="n">
        <v>206</v>
      </c>
      <c r="H178" s="20" t="n">
        <v>7.92</v>
      </c>
    </row>
    <row r="179" customFormat="false" ht="15" hidden="false" customHeight="false" outlineLevel="0" collapsed="false">
      <c r="A179" s="22" t="n">
        <v>208</v>
      </c>
      <c r="B179" s="20" t="n">
        <v>7.48</v>
      </c>
      <c r="D179" s="22" t="n">
        <v>208</v>
      </c>
      <c r="E179" s="20" t="n">
        <v>7.92</v>
      </c>
      <c r="G179" s="22" t="n">
        <v>208</v>
      </c>
      <c r="H179" s="20" t="n">
        <v>7.92</v>
      </c>
    </row>
    <row r="180" customFormat="false" ht="15" hidden="false" customHeight="false" outlineLevel="0" collapsed="false">
      <c r="A180" s="22" t="n">
        <v>210</v>
      </c>
      <c r="B180" s="20" t="n">
        <v>7.65</v>
      </c>
      <c r="D180" s="22" t="n">
        <v>210</v>
      </c>
      <c r="E180" s="20" t="n">
        <v>8.1</v>
      </c>
      <c r="G180" s="22" t="n">
        <v>210</v>
      </c>
      <c r="H180" s="20" t="n">
        <v>8.1</v>
      </c>
    </row>
    <row r="181" customFormat="false" ht="15" hidden="false" customHeight="false" outlineLevel="0" collapsed="false">
      <c r="A181" s="22" t="n">
        <v>212</v>
      </c>
      <c r="B181" s="20" t="n">
        <v>7.65</v>
      </c>
      <c r="D181" s="22" t="n">
        <v>212</v>
      </c>
      <c r="E181" s="20" t="n">
        <v>8.1</v>
      </c>
      <c r="G181" s="22" t="n">
        <v>212</v>
      </c>
      <c r="H181" s="20" t="n">
        <v>8.1</v>
      </c>
    </row>
    <row r="182" customFormat="false" ht="15" hidden="false" customHeight="false" outlineLevel="0" collapsed="false">
      <c r="A182" s="22" t="n">
        <v>214</v>
      </c>
      <c r="B182" s="20" t="n">
        <v>7.82</v>
      </c>
      <c r="D182" s="22" t="n">
        <v>214</v>
      </c>
      <c r="E182" s="20" t="n">
        <v>8.28</v>
      </c>
      <c r="G182" s="22" t="n">
        <v>214</v>
      </c>
      <c r="H182" s="20" t="n">
        <v>8.28</v>
      </c>
    </row>
    <row r="183" customFormat="false" ht="15" hidden="false" customHeight="false" outlineLevel="0" collapsed="false">
      <c r="A183" s="22" t="n">
        <v>216</v>
      </c>
      <c r="B183" s="20" t="n">
        <v>7.82</v>
      </c>
      <c r="D183" s="22" t="n">
        <v>216</v>
      </c>
      <c r="E183" s="20" t="n">
        <v>8.28</v>
      </c>
      <c r="G183" s="22" t="n">
        <v>216</v>
      </c>
      <c r="H183" s="20" t="n">
        <v>8.28</v>
      </c>
    </row>
    <row r="184" customFormat="false" ht="15" hidden="false" customHeight="false" outlineLevel="0" collapsed="false">
      <c r="A184" s="22" t="n">
        <v>218</v>
      </c>
      <c r="B184" s="20" t="n">
        <v>7.99</v>
      </c>
      <c r="D184" s="22" t="n">
        <v>218</v>
      </c>
      <c r="E184" s="20" t="n">
        <v>8.46</v>
      </c>
      <c r="G184" s="22" t="n">
        <v>218</v>
      </c>
      <c r="H184" s="20" t="n">
        <v>8.46</v>
      </c>
    </row>
    <row r="185" customFormat="false" ht="15" hidden="false" customHeight="false" outlineLevel="0" collapsed="false">
      <c r="A185" s="22" t="n">
        <v>220</v>
      </c>
      <c r="B185" s="20" t="n">
        <v>7.99</v>
      </c>
      <c r="D185" s="22" t="n">
        <v>220</v>
      </c>
      <c r="E185" s="20" t="n">
        <v>8.46</v>
      </c>
      <c r="G185" s="22" t="n">
        <v>220</v>
      </c>
      <c r="H185" s="20" t="n">
        <v>8.46</v>
      </c>
    </row>
    <row r="186" customFormat="false" ht="15" hidden="false" customHeight="false" outlineLevel="0" collapsed="false">
      <c r="A186" s="22" t="n">
        <v>222</v>
      </c>
      <c r="B186" s="20" t="n">
        <v>8.16</v>
      </c>
      <c r="D186" s="22" t="n">
        <v>222</v>
      </c>
      <c r="E186" s="20" t="n">
        <v>8.64</v>
      </c>
      <c r="G186" s="22" t="n">
        <v>222</v>
      </c>
      <c r="H186" s="20" t="n">
        <v>8.64</v>
      </c>
    </row>
    <row r="187" customFormat="false" ht="15" hidden="false" customHeight="false" outlineLevel="0" collapsed="false">
      <c r="A187" s="22" t="n">
        <v>224</v>
      </c>
      <c r="B187" s="20" t="n">
        <v>8.16</v>
      </c>
      <c r="D187" s="22" t="n">
        <v>224</v>
      </c>
      <c r="E187" s="20" t="n">
        <v>8.64</v>
      </c>
      <c r="G187" s="22" t="n">
        <v>224</v>
      </c>
      <c r="H187" s="20" t="n">
        <v>8.64</v>
      </c>
    </row>
    <row r="188" customFormat="false" ht="15" hidden="false" customHeight="false" outlineLevel="0" collapsed="false">
      <c r="A188" s="22" t="n">
        <v>226</v>
      </c>
      <c r="B188" s="20" t="n">
        <v>8.33</v>
      </c>
      <c r="D188" s="22" t="n">
        <v>226</v>
      </c>
      <c r="E188" s="20" t="n">
        <v>8.82</v>
      </c>
      <c r="G188" s="22" t="n">
        <v>226</v>
      </c>
      <c r="H188" s="20" t="n">
        <v>8.82</v>
      </c>
    </row>
    <row r="189" customFormat="false" ht="15" hidden="false" customHeight="false" outlineLevel="0" collapsed="false">
      <c r="A189" s="22" t="n">
        <v>228</v>
      </c>
      <c r="B189" s="20" t="n">
        <v>8.33</v>
      </c>
      <c r="D189" s="22" t="n">
        <v>228</v>
      </c>
      <c r="E189" s="20" t="n">
        <v>8.82</v>
      </c>
      <c r="G189" s="22" t="n">
        <v>228</v>
      </c>
      <c r="H189" s="20" t="n">
        <v>8.82</v>
      </c>
    </row>
    <row r="190" customFormat="false" ht="15" hidden="false" customHeight="false" outlineLevel="0" collapsed="false">
      <c r="A190" s="22" t="n">
        <v>230</v>
      </c>
      <c r="B190" s="20" t="n">
        <v>8.5</v>
      </c>
      <c r="D190" s="22" t="n">
        <v>230</v>
      </c>
      <c r="E190" s="20" t="n">
        <v>9</v>
      </c>
      <c r="G190" s="22" t="n">
        <v>230</v>
      </c>
      <c r="H190" s="20" t="n">
        <v>9</v>
      </c>
    </row>
    <row r="191" customFormat="false" ht="15" hidden="false" customHeight="false" outlineLevel="0" collapsed="false">
      <c r="A191" s="22" t="n">
        <v>232</v>
      </c>
      <c r="B191" s="20" t="n">
        <v>8.5</v>
      </c>
      <c r="D191" s="22" t="n">
        <v>232</v>
      </c>
      <c r="E191" s="20" t="n">
        <v>9</v>
      </c>
      <c r="G191" s="22" t="n">
        <v>232</v>
      </c>
      <c r="H191" s="20" t="n">
        <v>9</v>
      </c>
    </row>
    <row r="192" customFormat="false" ht="15" hidden="false" customHeight="false" outlineLevel="0" collapsed="false">
      <c r="A192" s="22" t="n">
        <v>234</v>
      </c>
      <c r="B192" s="20" t="n">
        <v>8.67</v>
      </c>
      <c r="D192" s="22" t="n">
        <v>234</v>
      </c>
      <c r="E192" s="20" t="n">
        <v>9.18</v>
      </c>
      <c r="G192" s="22" t="n">
        <v>234</v>
      </c>
      <c r="H192" s="20" t="n">
        <v>9.18</v>
      </c>
    </row>
    <row r="193" customFormat="false" ht="15" hidden="false" customHeight="false" outlineLevel="0" collapsed="false">
      <c r="A193" s="22" t="n">
        <v>236</v>
      </c>
      <c r="B193" s="20" t="n">
        <v>8.67</v>
      </c>
      <c r="D193" s="22" t="n">
        <v>236</v>
      </c>
      <c r="E193" s="20" t="n">
        <v>9.18</v>
      </c>
      <c r="G193" s="22" t="n">
        <v>236</v>
      </c>
      <c r="H193" s="20" t="n">
        <v>9.18</v>
      </c>
    </row>
    <row r="194" customFormat="false" ht="15" hidden="false" customHeight="false" outlineLevel="0" collapsed="false">
      <c r="A194" s="22" t="n">
        <v>238</v>
      </c>
      <c r="B194" s="20" t="n">
        <v>8.84</v>
      </c>
      <c r="D194" s="22" t="n">
        <v>238</v>
      </c>
      <c r="E194" s="20" t="n">
        <v>9.36</v>
      </c>
      <c r="G194" s="22" t="n">
        <v>238</v>
      </c>
      <c r="H194" s="20" t="n">
        <v>9.36</v>
      </c>
    </row>
    <row r="195" customFormat="false" ht="15" hidden="false" customHeight="false" outlineLevel="0" collapsed="false">
      <c r="A195" s="22" t="n">
        <v>240</v>
      </c>
      <c r="B195" s="20" t="n">
        <v>8.84</v>
      </c>
      <c r="D195" s="22" t="n">
        <v>240</v>
      </c>
      <c r="E195" s="20" t="n">
        <v>9.36</v>
      </c>
      <c r="G195" s="22" t="n">
        <v>240</v>
      </c>
      <c r="H195" s="20" t="n">
        <v>9.36</v>
      </c>
    </row>
    <row r="196" customFormat="false" ht="15" hidden="false" customHeight="false" outlineLevel="0" collapsed="false">
      <c r="A196" s="22" t="n">
        <v>242</v>
      </c>
      <c r="B196" s="20" t="n">
        <v>9.01</v>
      </c>
      <c r="D196" s="22" t="n">
        <v>242</v>
      </c>
      <c r="E196" s="20" t="n">
        <v>9.54</v>
      </c>
      <c r="G196" s="22" t="n">
        <v>242</v>
      </c>
      <c r="H196" s="20" t="n">
        <v>9.54</v>
      </c>
    </row>
    <row r="197" customFormat="false" ht="15" hidden="false" customHeight="false" outlineLevel="0" collapsed="false">
      <c r="A197" s="22" t="n">
        <v>244</v>
      </c>
      <c r="B197" s="20" t="n">
        <v>9.01</v>
      </c>
      <c r="D197" s="22" t="n">
        <v>244</v>
      </c>
      <c r="E197" s="20" t="n">
        <v>9.54</v>
      </c>
      <c r="G197" s="22" t="n">
        <v>244</v>
      </c>
      <c r="H197" s="20" t="n">
        <v>9.54</v>
      </c>
    </row>
    <row r="198" customFormat="false" ht="15" hidden="false" customHeight="false" outlineLevel="0" collapsed="false">
      <c r="A198" s="22" t="n">
        <v>246</v>
      </c>
      <c r="B198" s="20" t="n">
        <v>9.18</v>
      </c>
      <c r="D198" s="22" t="n">
        <v>246</v>
      </c>
      <c r="E198" s="20" t="n">
        <v>9.72</v>
      </c>
      <c r="G198" s="22" t="n">
        <v>246</v>
      </c>
      <c r="H198" s="20" t="n">
        <v>9.72</v>
      </c>
    </row>
    <row r="199" customFormat="false" ht="15" hidden="false" customHeight="false" outlineLevel="0" collapsed="false">
      <c r="A199" s="22" t="n">
        <v>248</v>
      </c>
      <c r="B199" s="20" t="n">
        <v>9.18</v>
      </c>
      <c r="D199" s="22" t="n">
        <v>248</v>
      </c>
      <c r="E199" s="20" t="n">
        <v>9.72</v>
      </c>
      <c r="G199" s="22" t="n">
        <v>248</v>
      </c>
      <c r="H199" s="20" t="n">
        <v>9.72</v>
      </c>
    </row>
    <row r="200" customFormat="false" ht="15" hidden="false" customHeight="false" outlineLevel="0" collapsed="false">
      <c r="A200" s="22" t="n">
        <v>250</v>
      </c>
      <c r="B200" s="20" t="n">
        <v>9.35</v>
      </c>
      <c r="D200" s="22" t="n">
        <v>250</v>
      </c>
      <c r="E200" s="20" t="n">
        <v>9.9</v>
      </c>
      <c r="G200" s="22" t="n">
        <v>250</v>
      </c>
      <c r="H200" s="20" t="n">
        <v>9.9</v>
      </c>
    </row>
    <row r="201" customFormat="false" ht="15" hidden="false" customHeight="false" outlineLevel="0" collapsed="false">
      <c r="A201" s="22" t="n">
        <v>252</v>
      </c>
      <c r="B201" s="20" t="n">
        <v>9.35</v>
      </c>
      <c r="D201" s="22" t="n">
        <v>252</v>
      </c>
      <c r="E201" s="20" t="n">
        <v>9.9</v>
      </c>
      <c r="G201" s="22" t="n">
        <v>252</v>
      </c>
      <c r="H201" s="20" t="n">
        <v>9.9</v>
      </c>
    </row>
    <row r="202" customFormat="false" ht="15" hidden="false" customHeight="false" outlineLevel="0" collapsed="false">
      <c r="A202" s="22" t="n">
        <v>254</v>
      </c>
      <c r="B202" s="20" t="n">
        <v>9.52</v>
      </c>
      <c r="D202" s="22" t="n">
        <v>254</v>
      </c>
      <c r="E202" s="20" t="n">
        <v>10.08</v>
      </c>
      <c r="G202" s="22" t="n">
        <v>254</v>
      </c>
      <c r="H202" s="20" t="n">
        <v>10.08</v>
      </c>
    </row>
    <row r="203" customFormat="false" ht="15" hidden="false" customHeight="false" outlineLevel="0" collapsed="false">
      <c r="A203" s="22" t="n">
        <v>256</v>
      </c>
      <c r="B203" s="20" t="n">
        <v>9.52</v>
      </c>
      <c r="D203" s="22" t="n">
        <v>256</v>
      </c>
      <c r="E203" s="20" t="n">
        <v>10.08</v>
      </c>
      <c r="G203" s="22" t="n">
        <v>256</v>
      </c>
      <c r="H203" s="20" t="n">
        <v>10.08</v>
      </c>
    </row>
    <row r="204" customFormat="false" ht="15" hidden="false" customHeight="false" outlineLevel="0" collapsed="false">
      <c r="A204" s="22" t="n">
        <v>258</v>
      </c>
      <c r="B204" s="20" t="n">
        <v>9.69</v>
      </c>
      <c r="D204" s="22" t="n">
        <v>258</v>
      </c>
      <c r="E204" s="20" t="n">
        <v>10.26</v>
      </c>
      <c r="G204" s="22" t="n">
        <v>258</v>
      </c>
      <c r="H204" s="20" t="n">
        <v>10.26</v>
      </c>
    </row>
    <row r="205" customFormat="false" ht="15" hidden="false" customHeight="false" outlineLevel="0" collapsed="false">
      <c r="A205" s="22" t="n">
        <v>260</v>
      </c>
      <c r="B205" s="20" t="n">
        <v>9.69</v>
      </c>
      <c r="D205" s="22" t="n">
        <v>260</v>
      </c>
      <c r="E205" s="20" t="n">
        <v>10.26</v>
      </c>
      <c r="G205" s="22" t="n">
        <v>260</v>
      </c>
      <c r="H205" s="20" t="n">
        <v>10.26</v>
      </c>
    </row>
    <row r="206" customFormat="false" ht="15" hidden="false" customHeight="false" outlineLevel="0" collapsed="false">
      <c r="A206" s="22" t="n">
        <v>262</v>
      </c>
      <c r="B206" s="20" t="n">
        <v>9.86</v>
      </c>
      <c r="D206" s="22" t="n">
        <v>262</v>
      </c>
      <c r="E206" s="20" t="n">
        <v>10.44</v>
      </c>
      <c r="G206" s="22" t="n">
        <v>262</v>
      </c>
      <c r="H206" s="20" t="n">
        <v>10.44</v>
      </c>
    </row>
    <row r="207" customFormat="false" ht="15" hidden="false" customHeight="false" outlineLevel="0" collapsed="false">
      <c r="A207" s="22" t="n">
        <v>264</v>
      </c>
      <c r="B207" s="20" t="n">
        <v>9.86</v>
      </c>
      <c r="D207" s="22" t="n">
        <v>264</v>
      </c>
      <c r="E207" s="20" t="n">
        <v>10.44</v>
      </c>
      <c r="G207" s="22" t="n">
        <v>264</v>
      </c>
      <c r="H207" s="20" t="n">
        <v>10.44</v>
      </c>
    </row>
    <row r="208" customFormat="false" ht="15" hidden="false" customHeight="false" outlineLevel="0" collapsed="false">
      <c r="A208" s="22" t="n">
        <v>266</v>
      </c>
      <c r="B208" s="20" t="n">
        <v>10.03</v>
      </c>
      <c r="D208" s="22" t="n">
        <v>266</v>
      </c>
      <c r="E208" s="20" t="n">
        <v>10.62</v>
      </c>
      <c r="G208" s="22" t="n">
        <v>266</v>
      </c>
      <c r="H208" s="20" t="n">
        <v>10.62</v>
      </c>
    </row>
    <row r="209" customFormat="false" ht="15" hidden="false" customHeight="false" outlineLevel="0" collapsed="false">
      <c r="A209" s="22" t="n">
        <v>268</v>
      </c>
      <c r="B209" s="20" t="n">
        <v>10.03</v>
      </c>
      <c r="D209" s="22" t="n">
        <v>268</v>
      </c>
      <c r="E209" s="20" t="n">
        <v>10.62</v>
      </c>
      <c r="G209" s="22" t="n">
        <v>268</v>
      </c>
      <c r="H209" s="20" t="n">
        <v>10.62</v>
      </c>
    </row>
    <row r="210" customFormat="false" ht="15" hidden="false" customHeight="false" outlineLevel="0" collapsed="false">
      <c r="A210" s="22" t="n">
        <v>270</v>
      </c>
      <c r="B210" s="20" t="n">
        <v>10.2</v>
      </c>
      <c r="D210" s="22" t="n">
        <v>270</v>
      </c>
      <c r="E210" s="20" t="n">
        <v>10.8</v>
      </c>
      <c r="G210" s="22" t="n">
        <v>270</v>
      </c>
      <c r="H210" s="20" t="n">
        <v>10.8</v>
      </c>
    </row>
    <row r="211" customFormat="false" ht="15" hidden="false" customHeight="false" outlineLevel="0" collapsed="false">
      <c r="A211" s="22" t="n">
        <v>272</v>
      </c>
      <c r="B211" s="20" t="n">
        <v>10.2</v>
      </c>
      <c r="D211" s="22" t="n">
        <v>272</v>
      </c>
      <c r="E211" s="20" t="n">
        <v>10.8</v>
      </c>
      <c r="G211" s="22" t="n">
        <v>272</v>
      </c>
      <c r="H211" s="20" t="n">
        <v>10.8</v>
      </c>
    </row>
    <row r="212" customFormat="false" ht="15" hidden="false" customHeight="false" outlineLevel="0" collapsed="false">
      <c r="A212" s="22" t="n">
        <v>274</v>
      </c>
      <c r="B212" s="20" t="n">
        <v>10.37</v>
      </c>
      <c r="D212" s="22" t="n">
        <v>274</v>
      </c>
      <c r="E212" s="20" t="n">
        <v>10.98</v>
      </c>
      <c r="G212" s="22" t="n">
        <v>274</v>
      </c>
      <c r="H212" s="20" t="n">
        <v>10.98</v>
      </c>
    </row>
    <row r="213" customFormat="false" ht="15" hidden="false" customHeight="false" outlineLevel="0" collapsed="false">
      <c r="A213" s="22" t="n">
        <v>276</v>
      </c>
      <c r="B213" s="20" t="n">
        <v>10.37</v>
      </c>
      <c r="D213" s="22" t="n">
        <v>276</v>
      </c>
      <c r="E213" s="20" t="n">
        <v>10.98</v>
      </c>
      <c r="G213" s="22" t="n">
        <v>276</v>
      </c>
      <c r="H213" s="20" t="n">
        <v>10.98</v>
      </c>
    </row>
    <row r="214" customFormat="false" ht="15" hidden="false" customHeight="false" outlineLevel="0" collapsed="false">
      <c r="A214" s="22" t="n">
        <v>278</v>
      </c>
      <c r="B214" s="20" t="n">
        <v>10.54</v>
      </c>
      <c r="D214" s="22" t="n">
        <v>278</v>
      </c>
      <c r="E214" s="20" t="n">
        <v>11.16</v>
      </c>
      <c r="G214" s="22" t="n">
        <v>278</v>
      </c>
      <c r="H214" s="20" t="n">
        <v>11.16</v>
      </c>
    </row>
    <row r="215" customFormat="false" ht="15" hidden="false" customHeight="false" outlineLevel="0" collapsed="false">
      <c r="A215" s="22" t="n">
        <v>280</v>
      </c>
      <c r="B215" s="20" t="n">
        <v>10.54</v>
      </c>
      <c r="D215" s="22" t="n">
        <v>280</v>
      </c>
      <c r="E215" s="20" t="n">
        <v>11.16</v>
      </c>
      <c r="G215" s="22" t="n">
        <v>280</v>
      </c>
      <c r="H215" s="20" t="n">
        <v>11.16</v>
      </c>
    </row>
    <row r="216" customFormat="false" ht="15" hidden="false" customHeight="false" outlineLevel="0" collapsed="false">
      <c r="A216" s="22" t="n">
        <v>282</v>
      </c>
      <c r="B216" s="20" t="n">
        <v>10.71</v>
      </c>
      <c r="D216" s="22" t="n">
        <v>282</v>
      </c>
      <c r="E216" s="20" t="n">
        <v>11.34</v>
      </c>
      <c r="G216" s="22" t="n">
        <v>282</v>
      </c>
      <c r="H216" s="20" t="n">
        <v>11.34</v>
      </c>
    </row>
    <row r="217" customFormat="false" ht="15" hidden="false" customHeight="false" outlineLevel="0" collapsed="false">
      <c r="A217" s="22" t="n">
        <v>284</v>
      </c>
      <c r="B217" s="20" t="n">
        <v>10.71</v>
      </c>
      <c r="D217" s="22" t="n">
        <v>284</v>
      </c>
      <c r="E217" s="20" t="n">
        <v>11.34</v>
      </c>
      <c r="G217" s="22" t="n">
        <v>284</v>
      </c>
      <c r="H217" s="20" t="n">
        <v>11.34</v>
      </c>
    </row>
    <row r="218" customFormat="false" ht="15" hidden="false" customHeight="false" outlineLevel="0" collapsed="false">
      <c r="A218" s="22" t="n">
        <v>286</v>
      </c>
      <c r="B218" s="20" t="n">
        <v>10.88</v>
      </c>
      <c r="D218" s="22" t="n">
        <v>286</v>
      </c>
      <c r="E218" s="20" t="n">
        <v>11.52</v>
      </c>
      <c r="G218" s="22" t="n">
        <v>286</v>
      </c>
      <c r="H218" s="20" t="n">
        <v>11.52</v>
      </c>
    </row>
    <row r="219" customFormat="false" ht="15" hidden="false" customHeight="false" outlineLevel="0" collapsed="false">
      <c r="A219" s="22" t="n">
        <v>288</v>
      </c>
      <c r="B219" s="20" t="n">
        <v>10.88</v>
      </c>
      <c r="D219" s="22" t="n">
        <v>288</v>
      </c>
      <c r="E219" s="20" t="n">
        <v>11.52</v>
      </c>
      <c r="G219" s="22" t="n">
        <v>288</v>
      </c>
      <c r="H219" s="20" t="n">
        <v>11.52</v>
      </c>
    </row>
    <row r="220" customFormat="false" ht="15" hidden="false" customHeight="false" outlineLevel="0" collapsed="false">
      <c r="A220" s="22" t="n">
        <v>290</v>
      </c>
      <c r="B220" s="20" t="n">
        <v>11.05</v>
      </c>
      <c r="D220" s="22" t="n">
        <v>290</v>
      </c>
      <c r="E220" s="20" t="n">
        <v>11.7</v>
      </c>
      <c r="G220" s="22" t="n">
        <v>290</v>
      </c>
      <c r="H220" s="20" t="n">
        <v>11.7</v>
      </c>
    </row>
    <row r="221" customFormat="false" ht="15" hidden="false" customHeight="false" outlineLevel="0" collapsed="false">
      <c r="A221" s="22" t="n">
        <v>292</v>
      </c>
      <c r="B221" s="20" t="n">
        <v>11.05</v>
      </c>
      <c r="D221" s="22" t="n">
        <v>292</v>
      </c>
      <c r="E221" s="20" t="n">
        <v>11.7</v>
      </c>
      <c r="G221" s="22" t="n">
        <v>292</v>
      </c>
      <c r="H221" s="20" t="n">
        <v>11.7</v>
      </c>
    </row>
    <row r="222" customFormat="false" ht="15" hidden="false" customHeight="false" outlineLevel="0" collapsed="false">
      <c r="A222" s="22" t="n">
        <v>294</v>
      </c>
      <c r="B222" s="20" t="n">
        <v>11.22</v>
      </c>
      <c r="D222" s="22" t="n">
        <v>294</v>
      </c>
      <c r="E222" s="20" t="n">
        <v>11.88</v>
      </c>
      <c r="G222" s="22" t="n">
        <v>294</v>
      </c>
      <c r="H222" s="20" t="n">
        <v>11.88</v>
      </c>
    </row>
    <row r="223" customFormat="false" ht="15" hidden="false" customHeight="false" outlineLevel="0" collapsed="false">
      <c r="A223" s="22" t="n">
        <v>296</v>
      </c>
      <c r="B223" s="20" t="n">
        <v>11.22</v>
      </c>
      <c r="D223" s="22" t="n">
        <v>296</v>
      </c>
      <c r="E223" s="20" t="n">
        <v>11.88</v>
      </c>
      <c r="G223" s="22" t="n">
        <v>296</v>
      </c>
      <c r="H223" s="20" t="n">
        <v>11.88</v>
      </c>
    </row>
    <row r="224" customFormat="false" ht="15" hidden="false" customHeight="false" outlineLevel="0" collapsed="false">
      <c r="A224" s="22" t="n">
        <v>298</v>
      </c>
      <c r="B224" s="20" t="n">
        <v>11.39</v>
      </c>
      <c r="D224" s="22" t="n">
        <v>298</v>
      </c>
      <c r="E224" s="20" t="n">
        <v>12.06</v>
      </c>
      <c r="G224" s="22" t="n">
        <v>298</v>
      </c>
      <c r="H224" s="20" t="n">
        <v>12.06</v>
      </c>
    </row>
    <row r="225" customFormat="false" ht="15" hidden="false" customHeight="false" outlineLevel="0" collapsed="false">
      <c r="A225" s="22" t="n">
        <v>300</v>
      </c>
      <c r="B225" s="20" t="n">
        <v>11.39</v>
      </c>
      <c r="D225" s="22" t="n">
        <v>300</v>
      </c>
      <c r="E225" s="20" t="n">
        <v>12.06</v>
      </c>
      <c r="G225" s="22" t="n">
        <v>300</v>
      </c>
      <c r="H225" s="20" t="n">
        <v>12.06</v>
      </c>
    </row>
    <row r="226" customFormat="false" ht="15" hidden="false" customHeight="false" outlineLevel="0" collapsed="false">
      <c r="A226" s="22" t="n">
        <v>302</v>
      </c>
      <c r="B226" s="20" t="n">
        <v>11.56</v>
      </c>
      <c r="D226" s="22" t="n">
        <v>302</v>
      </c>
      <c r="E226" s="20" t="n">
        <v>12.24</v>
      </c>
      <c r="G226" s="22" t="n">
        <v>302</v>
      </c>
      <c r="H226" s="20" t="n">
        <v>12.24</v>
      </c>
    </row>
    <row r="227" customFormat="false" ht="15" hidden="false" customHeight="false" outlineLevel="0" collapsed="false">
      <c r="A227" s="22" t="n">
        <v>304</v>
      </c>
      <c r="B227" s="20" t="n">
        <v>11.56</v>
      </c>
      <c r="D227" s="22" t="n">
        <v>304</v>
      </c>
      <c r="E227" s="20" t="n">
        <v>12.24</v>
      </c>
      <c r="G227" s="22" t="n">
        <v>304</v>
      </c>
      <c r="H227" s="20" t="n">
        <v>12.24</v>
      </c>
    </row>
    <row r="228" customFormat="false" ht="15" hidden="false" customHeight="false" outlineLevel="0" collapsed="false">
      <c r="A228" s="22" t="n">
        <v>306</v>
      </c>
      <c r="B228" s="20" t="n">
        <v>11.73</v>
      </c>
      <c r="D228" s="22" t="n">
        <v>306</v>
      </c>
      <c r="E228" s="20" t="n">
        <v>12.42</v>
      </c>
      <c r="G228" s="22" t="n">
        <v>306</v>
      </c>
      <c r="H228" s="20" t="n">
        <v>12.42</v>
      </c>
    </row>
    <row r="229" customFormat="false" ht="15" hidden="false" customHeight="false" outlineLevel="0" collapsed="false">
      <c r="A229" s="22" t="n">
        <v>308</v>
      </c>
      <c r="B229" s="20" t="n">
        <v>11.73</v>
      </c>
      <c r="D229" s="22" t="n">
        <v>308</v>
      </c>
      <c r="E229" s="20" t="n">
        <v>12.42</v>
      </c>
      <c r="G229" s="22" t="n">
        <v>308</v>
      </c>
      <c r="H229" s="20" t="n">
        <v>12.42</v>
      </c>
    </row>
    <row r="230" customFormat="false" ht="15" hidden="false" customHeight="false" outlineLevel="0" collapsed="false">
      <c r="A230" s="22" t="n">
        <v>310</v>
      </c>
      <c r="B230" s="20" t="n">
        <v>11.9</v>
      </c>
      <c r="D230" s="22" t="n">
        <v>310</v>
      </c>
      <c r="E230" s="20" t="n">
        <v>12.6</v>
      </c>
      <c r="G230" s="22" t="n">
        <v>310</v>
      </c>
      <c r="H230" s="20" t="n">
        <v>12.6</v>
      </c>
    </row>
    <row r="231" customFormat="false" ht="15" hidden="false" customHeight="false" outlineLevel="0" collapsed="false">
      <c r="A231" s="22" t="n">
        <v>312</v>
      </c>
      <c r="B231" s="20" t="n">
        <v>11.9</v>
      </c>
      <c r="D231" s="22" t="n">
        <v>312</v>
      </c>
      <c r="E231" s="20" t="n">
        <v>12.6</v>
      </c>
      <c r="G231" s="22" t="n">
        <v>312</v>
      </c>
      <c r="H231" s="20" t="n">
        <v>12.6</v>
      </c>
    </row>
    <row r="232" customFormat="false" ht="15" hidden="false" customHeight="false" outlineLevel="0" collapsed="false">
      <c r="A232" s="22" t="n">
        <v>314</v>
      </c>
      <c r="B232" s="20" t="n">
        <v>12.07</v>
      </c>
      <c r="D232" s="22" t="n">
        <v>314</v>
      </c>
      <c r="E232" s="20" t="n">
        <v>12.78</v>
      </c>
      <c r="G232" s="22" t="n">
        <v>314</v>
      </c>
      <c r="H232" s="20" t="n">
        <v>12.78</v>
      </c>
    </row>
    <row r="233" customFormat="false" ht="15" hidden="false" customHeight="false" outlineLevel="0" collapsed="false">
      <c r="A233" s="22" t="n">
        <v>316</v>
      </c>
      <c r="B233" s="20" t="n">
        <v>12.07</v>
      </c>
      <c r="D233" s="22" t="n">
        <v>316</v>
      </c>
      <c r="E233" s="20" t="n">
        <v>12.78</v>
      </c>
      <c r="G233" s="22" t="n">
        <v>316</v>
      </c>
      <c r="H233" s="20" t="n">
        <v>12.78</v>
      </c>
    </row>
    <row r="234" customFormat="false" ht="15" hidden="false" customHeight="false" outlineLevel="0" collapsed="false">
      <c r="A234" s="22" t="n">
        <v>318</v>
      </c>
      <c r="B234" s="20" t="n">
        <v>12.24</v>
      </c>
      <c r="D234" s="22" t="n">
        <v>318</v>
      </c>
      <c r="E234" s="20" t="n">
        <v>12.96</v>
      </c>
      <c r="G234" s="22" t="n">
        <v>318</v>
      </c>
      <c r="H234" s="20" t="n">
        <v>12.96</v>
      </c>
    </row>
    <row r="235" customFormat="false" ht="15" hidden="false" customHeight="false" outlineLevel="0" collapsed="false">
      <c r="A235" s="22" t="n">
        <v>320</v>
      </c>
      <c r="B235" s="20" t="n">
        <v>12.24</v>
      </c>
      <c r="D235" s="22" t="n">
        <v>320</v>
      </c>
      <c r="E235" s="20" t="n">
        <v>12.96</v>
      </c>
      <c r="G235" s="22" t="n">
        <v>320</v>
      </c>
      <c r="H235" s="20" t="n">
        <v>12.96</v>
      </c>
    </row>
    <row r="236" customFormat="false" ht="15" hidden="false" customHeight="false" outlineLevel="0" collapsed="false">
      <c r="A236" s="22" t="n">
        <v>322</v>
      </c>
      <c r="B236" s="20" t="n">
        <v>12.41</v>
      </c>
      <c r="D236" s="22" t="n">
        <v>322</v>
      </c>
      <c r="E236" s="20" t="n">
        <v>13.14</v>
      </c>
      <c r="G236" s="22" t="n">
        <v>322</v>
      </c>
      <c r="H236" s="20" t="n">
        <v>13.14</v>
      </c>
    </row>
    <row r="237" customFormat="false" ht="15" hidden="false" customHeight="false" outlineLevel="0" collapsed="false">
      <c r="A237" s="22" t="n">
        <v>324</v>
      </c>
      <c r="B237" s="20" t="n">
        <v>12.41</v>
      </c>
      <c r="D237" s="22" t="n">
        <v>324</v>
      </c>
      <c r="E237" s="20" t="n">
        <v>13.14</v>
      </c>
      <c r="G237" s="22" t="n">
        <v>324</v>
      </c>
      <c r="H237" s="20" t="n">
        <v>13.14</v>
      </c>
    </row>
    <row r="238" customFormat="false" ht="15" hidden="false" customHeight="false" outlineLevel="0" collapsed="false">
      <c r="A238" s="22" t="n">
        <v>326</v>
      </c>
      <c r="B238" s="20" t="n">
        <v>12.58</v>
      </c>
      <c r="D238" s="22" t="n">
        <v>326</v>
      </c>
      <c r="E238" s="20" t="n">
        <v>13.32</v>
      </c>
      <c r="G238" s="22" t="n">
        <v>326</v>
      </c>
      <c r="H238" s="20" t="n">
        <v>13.32</v>
      </c>
    </row>
    <row r="239" customFormat="false" ht="15" hidden="false" customHeight="false" outlineLevel="0" collapsed="false">
      <c r="A239" s="22" t="n">
        <v>328</v>
      </c>
      <c r="B239" s="20" t="n">
        <v>12.58</v>
      </c>
      <c r="D239" s="22" t="n">
        <v>328</v>
      </c>
      <c r="E239" s="20" t="n">
        <v>13.32</v>
      </c>
      <c r="G239" s="22" t="n">
        <v>328</v>
      </c>
      <c r="H239" s="20" t="n">
        <v>13.32</v>
      </c>
    </row>
    <row r="240" customFormat="false" ht="15" hidden="false" customHeight="false" outlineLevel="0" collapsed="false">
      <c r="A240" s="22" t="n">
        <v>330</v>
      </c>
      <c r="B240" s="20" t="n">
        <v>12.75</v>
      </c>
      <c r="D240" s="22" t="n">
        <v>330</v>
      </c>
      <c r="E240" s="20" t="n">
        <v>13.5</v>
      </c>
      <c r="G240" s="22" t="n">
        <v>330</v>
      </c>
      <c r="H240" s="20" t="n">
        <v>13.5</v>
      </c>
    </row>
    <row r="241" customFormat="false" ht="15" hidden="false" customHeight="false" outlineLevel="0" collapsed="false">
      <c r="A241" s="22" t="n">
        <v>332</v>
      </c>
      <c r="B241" s="20" t="n">
        <v>12.75</v>
      </c>
      <c r="D241" s="22" t="n">
        <v>332</v>
      </c>
      <c r="E241" s="20" t="n">
        <v>13.5</v>
      </c>
      <c r="G241" s="22" t="n">
        <v>332</v>
      </c>
      <c r="H241" s="20" t="n">
        <v>13.5</v>
      </c>
    </row>
    <row r="242" customFormat="false" ht="15" hidden="false" customHeight="false" outlineLevel="0" collapsed="false">
      <c r="A242" s="22" t="n">
        <v>334</v>
      </c>
      <c r="B242" s="20" t="n">
        <v>12.92</v>
      </c>
      <c r="D242" s="22" t="n">
        <v>334</v>
      </c>
      <c r="E242" s="20" t="n">
        <v>13.68</v>
      </c>
      <c r="G242" s="22" t="n">
        <v>334</v>
      </c>
      <c r="H242" s="20" t="n">
        <v>13.68</v>
      </c>
    </row>
    <row r="243" customFormat="false" ht="15" hidden="false" customHeight="false" outlineLevel="0" collapsed="false">
      <c r="A243" s="22" t="n">
        <v>336</v>
      </c>
      <c r="B243" s="20" t="n">
        <v>12.92</v>
      </c>
      <c r="D243" s="22" t="n">
        <v>336</v>
      </c>
      <c r="E243" s="20" t="n">
        <v>13.68</v>
      </c>
      <c r="G243" s="22" t="n">
        <v>336</v>
      </c>
      <c r="H243" s="20" t="n">
        <v>13.68</v>
      </c>
    </row>
    <row r="244" customFormat="false" ht="15" hidden="false" customHeight="false" outlineLevel="0" collapsed="false">
      <c r="A244" s="22" t="n">
        <v>338</v>
      </c>
      <c r="B244" s="20" t="n">
        <v>13.09</v>
      </c>
      <c r="D244" s="22" t="n">
        <v>338</v>
      </c>
      <c r="E244" s="20" t="n">
        <v>13.86</v>
      </c>
      <c r="G244" s="22" t="n">
        <v>338</v>
      </c>
      <c r="H244" s="20" t="n">
        <v>13.86</v>
      </c>
    </row>
    <row r="245" customFormat="false" ht="15" hidden="false" customHeight="false" outlineLevel="0" collapsed="false">
      <c r="A245" s="22" t="n">
        <v>340</v>
      </c>
      <c r="B245" s="20" t="n">
        <v>13.09</v>
      </c>
      <c r="D245" s="22" t="n">
        <v>340</v>
      </c>
      <c r="E245" s="20" t="n">
        <v>13.86</v>
      </c>
      <c r="G245" s="22" t="n">
        <v>340</v>
      </c>
      <c r="H245" s="20" t="n">
        <v>13.86</v>
      </c>
    </row>
    <row r="246" customFormat="false" ht="15" hidden="false" customHeight="false" outlineLevel="0" collapsed="false">
      <c r="A246" s="22" t="n">
        <v>342</v>
      </c>
      <c r="B246" s="20" t="n">
        <v>13.26</v>
      </c>
      <c r="D246" s="22" t="n">
        <v>342</v>
      </c>
      <c r="E246" s="20" t="n">
        <v>14.04</v>
      </c>
      <c r="G246" s="22" t="n">
        <v>342</v>
      </c>
      <c r="H246" s="20" t="n">
        <v>14.04</v>
      </c>
    </row>
    <row r="247" customFormat="false" ht="15" hidden="false" customHeight="false" outlineLevel="0" collapsed="false">
      <c r="A247" s="22" t="n">
        <v>344</v>
      </c>
      <c r="B247" s="20" t="n">
        <v>13.26</v>
      </c>
      <c r="D247" s="22" t="n">
        <v>344</v>
      </c>
      <c r="E247" s="20" t="n">
        <v>14.04</v>
      </c>
      <c r="G247" s="22" t="n">
        <v>344</v>
      </c>
      <c r="H247" s="20" t="n">
        <v>14.04</v>
      </c>
    </row>
    <row r="248" customFormat="false" ht="15" hidden="false" customHeight="false" outlineLevel="0" collapsed="false">
      <c r="A248" s="22" t="n">
        <v>346</v>
      </c>
      <c r="B248" s="20" t="n">
        <v>13.43</v>
      </c>
      <c r="D248" s="22" t="n">
        <v>346</v>
      </c>
      <c r="E248" s="20" t="n">
        <v>14.22</v>
      </c>
      <c r="G248" s="22" t="n">
        <v>346</v>
      </c>
      <c r="H248" s="20" t="n">
        <v>14.22</v>
      </c>
    </row>
    <row r="249" customFormat="false" ht="15" hidden="false" customHeight="false" outlineLevel="0" collapsed="false">
      <c r="A249" s="22" t="n">
        <v>348</v>
      </c>
      <c r="B249" s="20" t="n">
        <v>13.43</v>
      </c>
      <c r="D249" s="22" t="n">
        <v>348</v>
      </c>
      <c r="E249" s="20" t="n">
        <v>14.22</v>
      </c>
      <c r="G249" s="22" t="n">
        <v>348</v>
      </c>
      <c r="H249" s="20" t="n">
        <v>14.22</v>
      </c>
    </row>
    <row r="250" customFormat="false" ht="15" hidden="false" customHeight="false" outlineLevel="0" collapsed="false">
      <c r="A250" s="22" t="n">
        <v>350</v>
      </c>
      <c r="B250" s="20" t="n">
        <v>13.6</v>
      </c>
      <c r="D250" s="22" t="n">
        <v>350</v>
      </c>
      <c r="E250" s="20" t="n">
        <v>14.4</v>
      </c>
      <c r="G250" s="22" t="n">
        <v>350</v>
      </c>
      <c r="H250" s="20" t="n">
        <v>14.4</v>
      </c>
    </row>
    <row r="251" customFormat="false" ht="17.35" hidden="false" customHeight="false" outlineLevel="0" collapsed="false">
      <c r="A251" s="16" t="s">
        <v>75</v>
      </c>
      <c r="B251" s="16"/>
      <c r="C251" s="16"/>
      <c r="D251" s="16"/>
      <c r="E251" s="16"/>
      <c r="F251" s="16"/>
      <c r="G251" s="16"/>
      <c r="H251" s="16"/>
      <c r="I251" s="16"/>
    </row>
    <row r="253" customFormat="false" ht="15" hidden="false" customHeight="false" outlineLevel="0" collapsed="false">
      <c r="A253" s="26" t="s">
        <v>76</v>
      </c>
      <c r="B253" s="26"/>
      <c r="D253" s="26" t="s">
        <v>77</v>
      </c>
      <c r="E253" s="26"/>
      <c r="G253" s="26" t="s">
        <v>78</v>
      </c>
      <c r="H253" s="26"/>
    </row>
    <row r="254" customFormat="false" ht="22.35" hidden="false" customHeight="true" outlineLevel="0" collapsed="false">
      <c r="A254" s="17" t="s">
        <v>79</v>
      </c>
      <c r="B254" s="17"/>
      <c r="D254" s="17" t="s">
        <v>80</v>
      </c>
      <c r="E254" s="17"/>
      <c r="G254" s="17" t="s">
        <v>80</v>
      </c>
      <c r="H254" s="17"/>
    </row>
    <row r="256" customFormat="false" ht="15" hidden="false" customHeight="false" outlineLevel="0" collapsed="false">
      <c r="A256" s="18" t="s">
        <v>74</v>
      </c>
      <c r="B256" s="18" t="s">
        <v>23</v>
      </c>
      <c r="D256" s="18" t="s">
        <v>74</v>
      </c>
      <c r="E256" s="18" t="s">
        <v>23</v>
      </c>
      <c r="G256" s="18" t="s">
        <v>74</v>
      </c>
      <c r="H256" s="18" t="s">
        <v>23</v>
      </c>
    </row>
    <row r="257" customFormat="false" ht="15" hidden="false" customHeight="false" outlineLevel="0" collapsed="false">
      <c r="A257" s="22" t="n">
        <v>30</v>
      </c>
      <c r="B257" s="20" t="n">
        <v>0</v>
      </c>
      <c r="D257" s="22" t="n">
        <v>30</v>
      </c>
      <c r="E257" s="20" t="n">
        <v>0</v>
      </c>
      <c r="G257" s="22" t="n">
        <v>30</v>
      </c>
      <c r="H257" s="20" t="n">
        <v>0</v>
      </c>
    </row>
    <row r="258" customFormat="false" ht="15" hidden="false" customHeight="false" outlineLevel="0" collapsed="false">
      <c r="A258" s="22" t="n">
        <v>32</v>
      </c>
      <c r="B258" s="20" t="n">
        <v>0</v>
      </c>
      <c r="D258" s="22" t="n">
        <v>32</v>
      </c>
      <c r="E258" s="20" t="n">
        <v>0</v>
      </c>
      <c r="G258" s="22" t="n">
        <v>32</v>
      </c>
      <c r="H258" s="20" t="n">
        <v>0</v>
      </c>
    </row>
    <row r="259" customFormat="false" ht="15" hidden="false" customHeight="false" outlineLevel="0" collapsed="false">
      <c r="A259" s="22" t="n">
        <v>34</v>
      </c>
      <c r="B259" s="20" t="n">
        <v>0.26</v>
      </c>
      <c r="D259" s="22" t="n">
        <v>34</v>
      </c>
      <c r="E259" s="20" t="n">
        <v>0.28</v>
      </c>
      <c r="G259" s="22" t="n">
        <v>34</v>
      </c>
      <c r="H259" s="20" t="n">
        <v>0.28</v>
      </c>
    </row>
    <row r="260" customFormat="false" ht="15" hidden="false" customHeight="false" outlineLevel="0" collapsed="false">
      <c r="A260" s="22" t="n">
        <v>36</v>
      </c>
      <c r="B260" s="20" t="n">
        <v>0.26</v>
      </c>
      <c r="D260" s="22" t="n">
        <v>36</v>
      </c>
      <c r="E260" s="20" t="n">
        <v>0.28</v>
      </c>
      <c r="G260" s="22" t="n">
        <v>36</v>
      </c>
      <c r="H260" s="20" t="n">
        <v>0.28</v>
      </c>
    </row>
    <row r="261" customFormat="false" ht="15" hidden="false" customHeight="false" outlineLevel="0" collapsed="false">
      <c r="A261" s="22" t="n">
        <v>38</v>
      </c>
      <c r="B261" s="20" t="n">
        <v>0.52</v>
      </c>
      <c r="D261" s="22" t="n">
        <v>38</v>
      </c>
      <c r="E261" s="20" t="n">
        <v>0.56</v>
      </c>
      <c r="G261" s="22" t="n">
        <v>38</v>
      </c>
      <c r="H261" s="20" t="n">
        <v>0.56</v>
      </c>
    </row>
    <row r="262" customFormat="false" ht="15" hidden="false" customHeight="false" outlineLevel="0" collapsed="false">
      <c r="A262" s="22" t="n">
        <v>40</v>
      </c>
      <c r="B262" s="20" t="n">
        <v>0.52</v>
      </c>
      <c r="D262" s="22" t="n">
        <v>40</v>
      </c>
      <c r="E262" s="20" t="n">
        <v>0.56</v>
      </c>
      <c r="G262" s="22" t="n">
        <v>40</v>
      </c>
      <c r="H262" s="20" t="n">
        <v>0.56</v>
      </c>
    </row>
    <row r="263" customFormat="false" ht="15" hidden="false" customHeight="false" outlineLevel="0" collapsed="false">
      <c r="A263" s="22" t="n">
        <v>42</v>
      </c>
      <c r="B263" s="20" t="n">
        <v>0.78</v>
      </c>
      <c r="D263" s="22" t="n">
        <v>42</v>
      </c>
      <c r="E263" s="20" t="n">
        <v>0.84</v>
      </c>
      <c r="G263" s="22" t="n">
        <v>42</v>
      </c>
      <c r="H263" s="20" t="n">
        <v>0.84</v>
      </c>
    </row>
    <row r="264" customFormat="false" ht="15" hidden="false" customHeight="false" outlineLevel="0" collapsed="false">
      <c r="A264" s="22" t="n">
        <v>44</v>
      </c>
      <c r="B264" s="20" t="n">
        <v>0.78</v>
      </c>
      <c r="D264" s="22" t="n">
        <v>44</v>
      </c>
      <c r="E264" s="20" t="n">
        <v>0.84</v>
      </c>
      <c r="G264" s="22" t="n">
        <v>44</v>
      </c>
      <c r="H264" s="20" t="n">
        <v>0.84</v>
      </c>
    </row>
    <row r="265" customFormat="false" ht="15" hidden="false" customHeight="false" outlineLevel="0" collapsed="false">
      <c r="A265" s="22" t="n">
        <v>46</v>
      </c>
      <c r="B265" s="20" t="n">
        <v>1.04</v>
      </c>
      <c r="D265" s="22" t="n">
        <v>46</v>
      </c>
      <c r="E265" s="20" t="n">
        <v>1.12</v>
      </c>
      <c r="G265" s="22" t="n">
        <v>46</v>
      </c>
      <c r="H265" s="20" t="n">
        <v>1.12</v>
      </c>
    </row>
    <row r="266" customFormat="false" ht="15" hidden="false" customHeight="false" outlineLevel="0" collapsed="false">
      <c r="A266" s="22" t="n">
        <v>48</v>
      </c>
      <c r="B266" s="20" t="n">
        <v>1.04</v>
      </c>
      <c r="D266" s="22" t="n">
        <v>48</v>
      </c>
      <c r="E266" s="20" t="n">
        <v>1.12</v>
      </c>
      <c r="G266" s="22" t="n">
        <v>48</v>
      </c>
      <c r="H266" s="20" t="n">
        <v>1.12</v>
      </c>
    </row>
    <row r="267" customFormat="false" ht="15" hidden="false" customHeight="false" outlineLevel="0" collapsed="false">
      <c r="A267" s="22" t="n">
        <v>50</v>
      </c>
      <c r="B267" s="20" t="n">
        <v>1.3</v>
      </c>
      <c r="D267" s="22" t="n">
        <v>50</v>
      </c>
      <c r="E267" s="20" t="n">
        <v>1.4</v>
      </c>
      <c r="G267" s="22" t="n">
        <v>50</v>
      </c>
      <c r="H267" s="20" t="n">
        <v>1.4</v>
      </c>
    </row>
    <row r="268" customFormat="false" ht="15" hidden="false" customHeight="false" outlineLevel="0" collapsed="false">
      <c r="A268" s="22" t="n">
        <v>52</v>
      </c>
      <c r="B268" s="20" t="n">
        <v>1.3</v>
      </c>
      <c r="D268" s="22" t="n">
        <v>52</v>
      </c>
      <c r="E268" s="20" t="n">
        <v>1.4</v>
      </c>
      <c r="G268" s="22" t="n">
        <v>52</v>
      </c>
      <c r="H268" s="20" t="n">
        <v>1.4</v>
      </c>
    </row>
    <row r="269" customFormat="false" ht="15" hidden="false" customHeight="false" outlineLevel="0" collapsed="false">
      <c r="A269" s="22" t="n">
        <v>54</v>
      </c>
      <c r="B269" s="20" t="n">
        <v>1.56</v>
      </c>
      <c r="D269" s="22" t="n">
        <v>54</v>
      </c>
      <c r="E269" s="20" t="n">
        <v>1.68</v>
      </c>
      <c r="G269" s="22" t="n">
        <v>54</v>
      </c>
      <c r="H269" s="20" t="n">
        <v>1.68</v>
      </c>
    </row>
    <row r="270" customFormat="false" ht="15" hidden="false" customHeight="false" outlineLevel="0" collapsed="false">
      <c r="A270" s="22" t="n">
        <v>56</v>
      </c>
      <c r="B270" s="20" t="n">
        <v>1.56</v>
      </c>
      <c r="D270" s="22" t="n">
        <v>56</v>
      </c>
      <c r="E270" s="20" t="n">
        <v>1.68</v>
      </c>
      <c r="G270" s="22" t="n">
        <v>56</v>
      </c>
      <c r="H270" s="20" t="n">
        <v>1.68</v>
      </c>
    </row>
    <row r="271" customFormat="false" ht="15" hidden="false" customHeight="false" outlineLevel="0" collapsed="false">
      <c r="A271" s="22" t="n">
        <v>58</v>
      </c>
      <c r="B271" s="20" t="n">
        <v>1.82</v>
      </c>
      <c r="D271" s="22" t="n">
        <v>58</v>
      </c>
      <c r="E271" s="20" t="n">
        <v>1.96</v>
      </c>
      <c r="G271" s="22" t="n">
        <v>58</v>
      </c>
      <c r="H271" s="20" t="n">
        <v>1.96</v>
      </c>
    </row>
    <row r="272" customFormat="false" ht="15" hidden="false" customHeight="false" outlineLevel="0" collapsed="false">
      <c r="A272" s="22" t="n">
        <v>60</v>
      </c>
      <c r="B272" s="20" t="n">
        <v>1.82</v>
      </c>
      <c r="D272" s="22" t="n">
        <v>60</v>
      </c>
      <c r="E272" s="20" t="n">
        <v>1.96</v>
      </c>
      <c r="G272" s="22" t="n">
        <v>60</v>
      </c>
      <c r="H272" s="20" t="n">
        <v>1.96</v>
      </c>
    </row>
    <row r="273" customFormat="false" ht="15" hidden="false" customHeight="false" outlineLevel="0" collapsed="false">
      <c r="A273" s="22" t="n">
        <v>62</v>
      </c>
      <c r="B273" s="20" t="n">
        <v>2.08</v>
      </c>
      <c r="D273" s="22" t="n">
        <v>62</v>
      </c>
      <c r="E273" s="20" t="n">
        <v>2.24</v>
      </c>
      <c r="G273" s="22" t="n">
        <v>62</v>
      </c>
      <c r="H273" s="20" t="n">
        <v>2.24</v>
      </c>
    </row>
    <row r="274" customFormat="false" ht="15" hidden="false" customHeight="false" outlineLevel="0" collapsed="false">
      <c r="A274" s="22" t="n">
        <v>64</v>
      </c>
      <c r="B274" s="20" t="n">
        <v>2.08</v>
      </c>
      <c r="D274" s="22" t="n">
        <v>64</v>
      </c>
      <c r="E274" s="20" t="n">
        <v>2.24</v>
      </c>
      <c r="G274" s="22" t="n">
        <v>64</v>
      </c>
      <c r="H274" s="20" t="n">
        <v>2.24</v>
      </c>
    </row>
    <row r="275" customFormat="false" ht="15" hidden="false" customHeight="false" outlineLevel="0" collapsed="false">
      <c r="A275" s="22" t="n">
        <v>66</v>
      </c>
      <c r="B275" s="20" t="n">
        <v>2.34</v>
      </c>
      <c r="D275" s="22" t="n">
        <v>66</v>
      </c>
      <c r="E275" s="20" t="n">
        <v>2.52</v>
      </c>
      <c r="G275" s="22" t="n">
        <v>66</v>
      </c>
      <c r="H275" s="20" t="n">
        <v>2.52</v>
      </c>
    </row>
    <row r="276" customFormat="false" ht="15" hidden="false" customHeight="false" outlineLevel="0" collapsed="false">
      <c r="A276" s="22" t="n">
        <v>68</v>
      </c>
      <c r="B276" s="20" t="n">
        <v>2.34</v>
      </c>
      <c r="D276" s="22" t="n">
        <v>68</v>
      </c>
      <c r="E276" s="20" t="n">
        <v>2.52</v>
      </c>
      <c r="G276" s="22" t="n">
        <v>68</v>
      </c>
      <c r="H276" s="20" t="n">
        <v>2.52</v>
      </c>
    </row>
    <row r="277" customFormat="false" ht="15" hidden="false" customHeight="false" outlineLevel="0" collapsed="false">
      <c r="A277" s="22" t="n">
        <v>70</v>
      </c>
      <c r="B277" s="20" t="n">
        <v>2.6</v>
      </c>
      <c r="D277" s="22" t="n">
        <v>70</v>
      </c>
      <c r="E277" s="20" t="n">
        <v>2.8</v>
      </c>
      <c r="G277" s="22" t="n">
        <v>70</v>
      </c>
      <c r="H277" s="20" t="n">
        <v>2.8</v>
      </c>
    </row>
    <row r="278" customFormat="false" ht="15" hidden="false" customHeight="false" outlineLevel="0" collapsed="false">
      <c r="A278" s="22" t="n">
        <v>72</v>
      </c>
      <c r="B278" s="20" t="n">
        <v>2.6</v>
      </c>
      <c r="D278" s="22" t="n">
        <v>72</v>
      </c>
      <c r="E278" s="20" t="n">
        <v>2.8</v>
      </c>
      <c r="G278" s="22" t="n">
        <v>72</v>
      </c>
      <c r="H278" s="20" t="n">
        <v>2.8</v>
      </c>
    </row>
    <row r="279" customFormat="false" ht="15" hidden="false" customHeight="false" outlineLevel="0" collapsed="false">
      <c r="A279" s="22" t="n">
        <v>74</v>
      </c>
      <c r="B279" s="20" t="n">
        <v>2.86</v>
      </c>
      <c r="D279" s="22" t="n">
        <v>74</v>
      </c>
      <c r="E279" s="20" t="n">
        <v>3.08</v>
      </c>
      <c r="G279" s="22" t="n">
        <v>74</v>
      </c>
      <c r="H279" s="20" t="n">
        <v>3.08</v>
      </c>
    </row>
    <row r="280" customFormat="false" ht="15" hidden="false" customHeight="false" outlineLevel="0" collapsed="false">
      <c r="A280" s="22" t="n">
        <v>76</v>
      </c>
      <c r="B280" s="20" t="n">
        <v>2.86</v>
      </c>
      <c r="D280" s="22" t="n">
        <v>76</v>
      </c>
      <c r="E280" s="20" t="n">
        <v>3.08</v>
      </c>
      <c r="G280" s="22" t="n">
        <v>76</v>
      </c>
      <c r="H280" s="20" t="n">
        <v>3.08</v>
      </c>
    </row>
    <row r="281" customFormat="false" ht="15" hidden="false" customHeight="false" outlineLevel="0" collapsed="false">
      <c r="A281" s="22" t="n">
        <v>78</v>
      </c>
      <c r="B281" s="20" t="n">
        <v>3.12</v>
      </c>
      <c r="D281" s="22" t="n">
        <v>78</v>
      </c>
      <c r="E281" s="20" t="n">
        <v>3.36</v>
      </c>
      <c r="G281" s="22" t="n">
        <v>78</v>
      </c>
      <c r="H281" s="20" t="n">
        <v>3.36</v>
      </c>
    </row>
    <row r="282" customFormat="false" ht="15" hidden="false" customHeight="false" outlineLevel="0" collapsed="false">
      <c r="A282" s="22" t="n">
        <v>80</v>
      </c>
      <c r="B282" s="20" t="n">
        <v>3.12</v>
      </c>
      <c r="D282" s="22" t="n">
        <v>80</v>
      </c>
      <c r="E282" s="20" t="n">
        <v>3.36</v>
      </c>
      <c r="G282" s="22" t="n">
        <v>80</v>
      </c>
      <c r="H282" s="20" t="n">
        <v>3.36</v>
      </c>
    </row>
    <row r="283" customFormat="false" ht="15" hidden="false" customHeight="false" outlineLevel="0" collapsed="false">
      <c r="A283" s="22" t="n">
        <v>82</v>
      </c>
      <c r="B283" s="20" t="n">
        <v>3.38</v>
      </c>
      <c r="D283" s="22" t="n">
        <v>82</v>
      </c>
      <c r="E283" s="20" t="n">
        <v>3.64</v>
      </c>
      <c r="G283" s="22" t="n">
        <v>82</v>
      </c>
      <c r="H283" s="20" t="n">
        <v>3.64</v>
      </c>
    </row>
    <row r="284" customFormat="false" ht="15" hidden="false" customHeight="false" outlineLevel="0" collapsed="false">
      <c r="A284" s="22" t="n">
        <v>84</v>
      </c>
      <c r="B284" s="20" t="n">
        <v>3.38</v>
      </c>
      <c r="D284" s="22" t="n">
        <v>84</v>
      </c>
      <c r="E284" s="20" t="n">
        <v>3.64</v>
      </c>
      <c r="G284" s="22" t="n">
        <v>84</v>
      </c>
      <c r="H284" s="20" t="n">
        <v>3.64</v>
      </c>
    </row>
    <row r="285" customFormat="false" ht="15" hidden="false" customHeight="false" outlineLevel="0" collapsed="false">
      <c r="A285" s="22" t="n">
        <v>86</v>
      </c>
      <c r="B285" s="20" t="n">
        <v>3.64</v>
      </c>
      <c r="D285" s="22" t="n">
        <v>86</v>
      </c>
      <c r="E285" s="20" t="n">
        <v>3.92</v>
      </c>
      <c r="G285" s="22" t="n">
        <v>86</v>
      </c>
      <c r="H285" s="20" t="n">
        <v>3.92</v>
      </c>
    </row>
    <row r="286" customFormat="false" ht="15" hidden="false" customHeight="false" outlineLevel="0" collapsed="false">
      <c r="A286" s="22" t="n">
        <v>88</v>
      </c>
      <c r="B286" s="20" t="n">
        <v>3.64</v>
      </c>
      <c r="D286" s="22" t="n">
        <v>88</v>
      </c>
      <c r="E286" s="20" t="n">
        <v>3.92</v>
      </c>
      <c r="G286" s="22" t="n">
        <v>88</v>
      </c>
      <c r="H286" s="20" t="n">
        <v>3.92</v>
      </c>
    </row>
    <row r="287" customFormat="false" ht="15" hidden="false" customHeight="false" outlineLevel="0" collapsed="false">
      <c r="A287" s="22" t="n">
        <v>90</v>
      </c>
      <c r="B287" s="20" t="n">
        <v>3.9</v>
      </c>
      <c r="D287" s="22" t="n">
        <v>90</v>
      </c>
      <c r="E287" s="20" t="n">
        <v>4.2</v>
      </c>
      <c r="G287" s="22" t="n">
        <v>90</v>
      </c>
      <c r="H287" s="20" t="n">
        <v>4.2</v>
      </c>
    </row>
    <row r="288" customFormat="false" ht="15" hidden="false" customHeight="false" outlineLevel="0" collapsed="false">
      <c r="A288" s="22" t="n">
        <v>92</v>
      </c>
      <c r="B288" s="20" t="n">
        <v>3.9</v>
      </c>
      <c r="D288" s="22" t="n">
        <v>92</v>
      </c>
      <c r="E288" s="20" t="n">
        <v>4.2</v>
      </c>
      <c r="G288" s="22" t="n">
        <v>92</v>
      </c>
      <c r="H288" s="20" t="n">
        <v>4.2</v>
      </c>
    </row>
    <row r="289" customFormat="false" ht="15" hidden="false" customHeight="false" outlineLevel="0" collapsed="false">
      <c r="A289" s="22" t="n">
        <v>94</v>
      </c>
      <c r="B289" s="20" t="n">
        <v>4.16</v>
      </c>
      <c r="D289" s="22" t="n">
        <v>94</v>
      </c>
      <c r="E289" s="20" t="n">
        <v>4.48</v>
      </c>
      <c r="G289" s="22" t="n">
        <v>94</v>
      </c>
      <c r="H289" s="20" t="n">
        <v>4.48</v>
      </c>
    </row>
    <row r="290" customFormat="false" ht="15" hidden="false" customHeight="false" outlineLevel="0" collapsed="false">
      <c r="A290" s="22" t="n">
        <v>96</v>
      </c>
      <c r="B290" s="20" t="n">
        <v>4.16</v>
      </c>
      <c r="D290" s="22" t="n">
        <v>96</v>
      </c>
      <c r="E290" s="20" t="n">
        <v>4.48</v>
      </c>
      <c r="G290" s="22" t="n">
        <v>96</v>
      </c>
      <c r="H290" s="20" t="n">
        <v>4.48</v>
      </c>
    </row>
    <row r="291" customFormat="false" ht="15" hidden="false" customHeight="false" outlineLevel="0" collapsed="false">
      <c r="A291" s="22" t="n">
        <v>98</v>
      </c>
      <c r="B291" s="20" t="n">
        <v>4.42</v>
      </c>
      <c r="D291" s="22" t="n">
        <v>98</v>
      </c>
      <c r="E291" s="20" t="n">
        <v>4.76</v>
      </c>
      <c r="G291" s="22" t="n">
        <v>98</v>
      </c>
      <c r="H291" s="20" t="n">
        <v>4.76</v>
      </c>
    </row>
    <row r="292" customFormat="false" ht="15" hidden="false" customHeight="false" outlineLevel="0" collapsed="false">
      <c r="A292" s="22" t="n">
        <v>100</v>
      </c>
      <c r="B292" s="20" t="n">
        <v>4.42</v>
      </c>
      <c r="D292" s="22" t="n">
        <v>100</v>
      </c>
      <c r="E292" s="20" t="n">
        <v>4.76</v>
      </c>
      <c r="G292" s="22" t="n">
        <v>100</v>
      </c>
      <c r="H292" s="20" t="n">
        <v>4.76</v>
      </c>
    </row>
    <row r="293" customFormat="false" ht="15" hidden="false" customHeight="false" outlineLevel="0" collapsed="false">
      <c r="A293" s="22" t="n">
        <v>102</v>
      </c>
      <c r="B293" s="20" t="n">
        <v>4.68</v>
      </c>
      <c r="D293" s="22" t="n">
        <v>102</v>
      </c>
      <c r="E293" s="20" t="n">
        <v>5.04</v>
      </c>
      <c r="G293" s="22" t="n">
        <v>102</v>
      </c>
      <c r="H293" s="20" t="n">
        <v>5.04</v>
      </c>
    </row>
    <row r="294" customFormat="false" ht="15" hidden="false" customHeight="false" outlineLevel="0" collapsed="false">
      <c r="A294" s="22" t="n">
        <v>104</v>
      </c>
      <c r="B294" s="20" t="n">
        <v>4.68</v>
      </c>
      <c r="D294" s="22" t="n">
        <v>104</v>
      </c>
      <c r="E294" s="20" t="n">
        <v>5.04</v>
      </c>
      <c r="G294" s="22" t="n">
        <v>104</v>
      </c>
      <c r="H294" s="20" t="n">
        <v>5.04</v>
      </c>
    </row>
    <row r="295" customFormat="false" ht="15" hidden="false" customHeight="false" outlineLevel="0" collapsed="false">
      <c r="A295" s="22" t="n">
        <v>106</v>
      </c>
      <c r="B295" s="20" t="n">
        <v>4.94</v>
      </c>
      <c r="D295" s="22" t="n">
        <v>106</v>
      </c>
      <c r="E295" s="20" t="n">
        <v>5.32</v>
      </c>
      <c r="G295" s="22" t="n">
        <v>106</v>
      </c>
      <c r="H295" s="20" t="n">
        <v>5.32</v>
      </c>
    </row>
    <row r="296" customFormat="false" ht="15" hidden="false" customHeight="false" outlineLevel="0" collapsed="false">
      <c r="A296" s="22" t="n">
        <v>108</v>
      </c>
      <c r="B296" s="20" t="n">
        <v>4.94</v>
      </c>
      <c r="D296" s="22" t="n">
        <v>108</v>
      </c>
      <c r="E296" s="20" t="n">
        <v>5.32</v>
      </c>
      <c r="G296" s="22" t="n">
        <v>108</v>
      </c>
      <c r="H296" s="20" t="n">
        <v>5.32</v>
      </c>
    </row>
    <row r="297" customFormat="false" ht="15" hidden="false" customHeight="false" outlineLevel="0" collapsed="false">
      <c r="A297" s="22" t="n">
        <v>110</v>
      </c>
      <c r="B297" s="20" t="n">
        <v>5.2</v>
      </c>
      <c r="D297" s="22" t="n">
        <v>110</v>
      </c>
      <c r="E297" s="20" t="n">
        <v>5.6</v>
      </c>
      <c r="G297" s="22" t="n">
        <v>110</v>
      </c>
      <c r="H297" s="20" t="n">
        <v>5.6</v>
      </c>
    </row>
    <row r="298" customFormat="false" ht="15" hidden="false" customHeight="false" outlineLevel="0" collapsed="false">
      <c r="A298" s="22" t="n">
        <v>112</v>
      </c>
      <c r="B298" s="20" t="n">
        <v>5.2</v>
      </c>
      <c r="D298" s="22" t="n">
        <v>112</v>
      </c>
      <c r="E298" s="20" t="n">
        <v>5.6</v>
      </c>
      <c r="G298" s="22" t="n">
        <v>112</v>
      </c>
      <c r="H298" s="20" t="n">
        <v>5.6</v>
      </c>
    </row>
    <row r="299" customFormat="false" ht="15" hidden="false" customHeight="false" outlineLevel="0" collapsed="false">
      <c r="A299" s="22" t="n">
        <v>114</v>
      </c>
      <c r="B299" s="20" t="n">
        <v>5.46</v>
      </c>
      <c r="D299" s="22" t="n">
        <v>114</v>
      </c>
      <c r="E299" s="20" t="n">
        <v>5.88</v>
      </c>
      <c r="G299" s="22" t="n">
        <v>114</v>
      </c>
      <c r="H299" s="20" t="n">
        <v>5.88</v>
      </c>
    </row>
    <row r="300" customFormat="false" ht="15" hidden="false" customHeight="false" outlineLevel="0" collapsed="false">
      <c r="A300" s="22" t="n">
        <v>116</v>
      </c>
      <c r="B300" s="20" t="n">
        <v>5.46</v>
      </c>
      <c r="D300" s="22" t="n">
        <v>116</v>
      </c>
      <c r="E300" s="20" t="n">
        <v>5.88</v>
      </c>
      <c r="G300" s="22" t="n">
        <v>116</v>
      </c>
      <c r="H300" s="20" t="n">
        <v>5.88</v>
      </c>
    </row>
    <row r="301" customFormat="false" ht="15" hidden="false" customHeight="false" outlineLevel="0" collapsed="false">
      <c r="A301" s="22" t="n">
        <v>118</v>
      </c>
      <c r="B301" s="20" t="n">
        <v>5.72</v>
      </c>
      <c r="D301" s="22" t="n">
        <v>118</v>
      </c>
      <c r="E301" s="20" t="n">
        <v>6.16</v>
      </c>
      <c r="G301" s="22" t="n">
        <v>118</v>
      </c>
      <c r="H301" s="20" t="n">
        <v>6.16</v>
      </c>
    </row>
    <row r="302" customFormat="false" ht="15" hidden="false" customHeight="false" outlineLevel="0" collapsed="false">
      <c r="A302" s="22" t="n">
        <v>120</v>
      </c>
      <c r="B302" s="20" t="n">
        <v>5.72</v>
      </c>
      <c r="D302" s="22" t="n">
        <v>120</v>
      </c>
      <c r="E302" s="20" t="n">
        <v>6.16</v>
      </c>
      <c r="G302" s="22" t="n">
        <v>120</v>
      </c>
      <c r="H302" s="20" t="n">
        <v>6.16</v>
      </c>
    </row>
    <row r="303" customFormat="false" ht="15" hidden="false" customHeight="false" outlineLevel="0" collapsed="false">
      <c r="A303" s="22" t="n">
        <v>122</v>
      </c>
      <c r="B303" s="20" t="n">
        <v>5.98</v>
      </c>
      <c r="D303" s="22" t="n">
        <v>122</v>
      </c>
      <c r="E303" s="20" t="n">
        <v>6.44</v>
      </c>
      <c r="G303" s="22" t="n">
        <v>122</v>
      </c>
      <c r="H303" s="20" t="n">
        <v>6.44</v>
      </c>
    </row>
    <row r="304" customFormat="false" ht="15" hidden="false" customHeight="false" outlineLevel="0" collapsed="false">
      <c r="A304" s="22" t="n">
        <v>124</v>
      </c>
      <c r="B304" s="20" t="n">
        <v>5.98</v>
      </c>
      <c r="D304" s="22" t="n">
        <v>124</v>
      </c>
      <c r="E304" s="20" t="n">
        <v>6.44</v>
      </c>
      <c r="G304" s="22" t="n">
        <v>124</v>
      </c>
      <c r="H304" s="20" t="n">
        <v>6.44</v>
      </c>
    </row>
    <row r="305" customFormat="false" ht="15" hidden="false" customHeight="false" outlineLevel="0" collapsed="false">
      <c r="A305" s="22" t="n">
        <v>126</v>
      </c>
      <c r="B305" s="20" t="n">
        <v>6.24</v>
      </c>
      <c r="D305" s="22" t="n">
        <v>126</v>
      </c>
      <c r="E305" s="20" t="n">
        <v>6.72</v>
      </c>
      <c r="G305" s="22" t="n">
        <v>126</v>
      </c>
      <c r="H305" s="20" t="n">
        <v>6.72</v>
      </c>
    </row>
    <row r="306" customFormat="false" ht="15" hidden="false" customHeight="false" outlineLevel="0" collapsed="false">
      <c r="A306" s="22" t="n">
        <v>128</v>
      </c>
      <c r="B306" s="20" t="n">
        <v>6.24</v>
      </c>
      <c r="D306" s="22" t="n">
        <v>128</v>
      </c>
      <c r="E306" s="20" t="n">
        <v>6.72</v>
      </c>
      <c r="G306" s="22" t="n">
        <v>128</v>
      </c>
      <c r="H306" s="20" t="n">
        <v>6.72</v>
      </c>
    </row>
    <row r="307" customFormat="false" ht="15" hidden="false" customHeight="false" outlineLevel="0" collapsed="false">
      <c r="A307" s="22" t="n">
        <v>130</v>
      </c>
      <c r="B307" s="20" t="n">
        <v>6.5</v>
      </c>
      <c r="D307" s="22" t="n">
        <v>130</v>
      </c>
      <c r="E307" s="20" t="n">
        <v>7</v>
      </c>
      <c r="G307" s="22" t="n">
        <v>130</v>
      </c>
      <c r="H307" s="20" t="n">
        <v>7</v>
      </c>
    </row>
    <row r="308" customFormat="false" ht="15" hidden="false" customHeight="false" outlineLevel="0" collapsed="false">
      <c r="A308" s="22" t="n">
        <v>132</v>
      </c>
      <c r="B308" s="20" t="n">
        <v>6.5</v>
      </c>
      <c r="D308" s="22" t="n">
        <v>132</v>
      </c>
      <c r="E308" s="20" t="n">
        <v>7</v>
      </c>
      <c r="G308" s="22" t="n">
        <v>132</v>
      </c>
      <c r="H308" s="20" t="n">
        <v>7</v>
      </c>
    </row>
    <row r="309" customFormat="false" ht="15" hidden="false" customHeight="false" outlineLevel="0" collapsed="false">
      <c r="A309" s="22" t="n">
        <v>134</v>
      </c>
      <c r="B309" s="20" t="n">
        <v>6.76</v>
      </c>
      <c r="D309" s="22" t="n">
        <v>134</v>
      </c>
      <c r="E309" s="20" t="n">
        <v>7.28</v>
      </c>
      <c r="G309" s="22" t="n">
        <v>134</v>
      </c>
      <c r="H309" s="20" t="n">
        <v>7.28</v>
      </c>
    </row>
    <row r="310" customFormat="false" ht="15" hidden="false" customHeight="false" outlineLevel="0" collapsed="false">
      <c r="A310" s="22" t="n">
        <v>136</v>
      </c>
      <c r="B310" s="20" t="n">
        <v>6.76</v>
      </c>
      <c r="D310" s="22" t="n">
        <v>136</v>
      </c>
      <c r="E310" s="20" t="n">
        <v>7.28</v>
      </c>
      <c r="G310" s="22" t="n">
        <v>136</v>
      </c>
      <c r="H310" s="20" t="n">
        <v>7.28</v>
      </c>
    </row>
    <row r="311" customFormat="false" ht="15" hidden="false" customHeight="false" outlineLevel="0" collapsed="false">
      <c r="A311" s="22" t="n">
        <v>138</v>
      </c>
      <c r="B311" s="20" t="n">
        <v>7.02</v>
      </c>
      <c r="D311" s="22" t="n">
        <v>138</v>
      </c>
      <c r="E311" s="20" t="n">
        <v>7.56</v>
      </c>
      <c r="G311" s="22" t="n">
        <v>138</v>
      </c>
      <c r="H311" s="20" t="n">
        <v>7.56</v>
      </c>
    </row>
    <row r="312" customFormat="false" ht="15" hidden="false" customHeight="false" outlineLevel="0" collapsed="false">
      <c r="A312" s="22" t="n">
        <v>140</v>
      </c>
      <c r="B312" s="20" t="n">
        <v>7.02</v>
      </c>
      <c r="D312" s="22" t="n">
        <v>140</v>
      </c>
      <c r="E312" s="20" t="n">
        <v>7.56</v>
      </c>
      <c r="G312" s="22" t="n">
        <v>140</v>
      </c>
      <c r="H312" s="20" t="n">
        <v>7.56</v>
      </c>
    </row>
    <row r="313" customFormat="false" ht="15" hidden="false" customHeight="false" outlineLevel="0" collapsed="false">
      <c r="A313" s="22" t="n">
        <v>142</v>
      </c>
      <c r="B313" s="20" t="n">
        <v>7.28</v>
      </c>
      <c r="D313" s="22" t="n">
        <v>142</v>
      </c>
      <c r="E313" s="20" t="n">
        <v>7.84</v>
      </c>
      <c r="G313" s="22" t="n">
        <v>142</v>
      </c>
      <c r="H313" s="20" t="n">
        <v>7.84</v>
      </c>
    </row>
    <row r="314" customFormat="false" ht="15" hidden="false" customHeight="false" outlineLevel="0" collapsed="false">
      <c r="A314" s="22" t="n">
        <v>144</v>
      </c>
      <c r="B314" s="20" t="n">
        <v>7.28</v>
      </c>
      <c r="D314" s="22" t="n">
        <v>144</v>
      </c>
      <c r="E314" s="20" t="n">
        <v>7.84</v>
      </c>
      <c r="G314" s="22" t="n">
        <v>144</v>
      </c>
      <c r="H314" s="20" t="n">
        <v>7.84</v>
      </c>
    </row>
    <row r="315" customFormat="false" ht="15" hidden="false" customHeight="false" outlineLevel="0" collapsed="false">
      <c r="A315" s="22" t="n">
        <v>146</v>
      </c>
      <c r="B315" s="20" t="n">
        <v>7.54</v>
      </c>
      <c r="D315" s="22" t="n">
        <v>146</v>
      </c>
      <c r="E315" s="20" t="n">
        <v>8.12</v>
      </c>
      <c r="G315" s="22" t="n">
        <v>146</v>
      </c>
      <c r="H315" s="20" t="n">
        <v>8.12</v>
      </c>
    </row>
    <row r="316" customFormat="false" ht="15" hidden="false" customHeight="false" outlineLevel="0" collapsed="false">
      <c r="A316" s="22" t="n">
        <v>148</v>
      </c>
      <c r="B316" s="20" t="n">
        <v>7.54</v>
      </c>
      <c r="D316" s="22" t="n">
        <v>148</v>
      </c>
      <c r="E316" s="20" t="n">
        <v>8.12</v>
      </c>
      <c r="G316" s="22" t="n">
        <v>148</v>
      </c>
      <c r="H316" s="20" t="n">
        <v>8.12</v>
      </c>
    </row>
    <row r="317" customFormat="false" ht="15" hidden="false" customHeight="false" outlineLevel="0" collapsed="false">
      <c r="A317" s="22" t="n">
        <v>150</v>
      </c>
      <c r="B317" s="20" t="n">
        <v>7.8</v>
      </c>
      <c r="D317" s="22" t="n">
        <v>150</v>
      </c>
      <c r="E317" s="20" t="n">
        <v>8.4</v>
      </c>
      <c r="G317" s="22" t="n">
        <v>150</v>
      </c>
      <c r="H317" s="20" t="n">
        <v>8.4</v>
      </c>
    </row>
    <row r="318" customFormat="false" ht="15" hidden="false" customHeight="false" outlineLevel="0" collapsed="false">
      <c r="A318" s="22" t="n">
        <v>152</v>
      </c>
      <c r="B318" s="20" t="n">
        <v>7.8</v>
      </c>
      <c r="D318" s="22" t="n">
        <v>152</v>
      </c>
      <c r="E318" s="20" t="n">
        <v>8.4</v>
      </c>
      <c r="G318" s="22" t="n">
        <v>152</v>
      </c>
      <c r="H318" s="20" t="n">
        <v>8.4</v>
      </c>
    </row>
    <row r="319" customFormat="false" ht="15" hidden="false" customHeight="false" outlineLevel="0" collapsed="false">
      <c r="A319" s="22" t="n">
        <v>154</v>
      </c>
      <c r="B319" s="20" t="n">
        <v>8.06</v>
      </c>
      <c r="D319" s="22" t="n">
        <v>154</v>
      </c>
      <c r="E319" s="20" t="n">
        <v>8.68</v>
      </c>
      <c r="G319" s="22" t="n">
        <v>154</v>
      </c>
      <c r="H319" s="20" t="n">
        <v>8.68</v>
      </c>
    </row>
    <row r="320" customFormat="false" ht="15" hidden="false" customHeight="false" outlineLevel="0" collapsed="false">
      <c r="A320" s="22" t="n">
        <v>156</v>
      </c>
      <c r="B320" s="20" t="n">
        <v>8.06</v>
      </c>
      <c r="D320" s="22" t="n">
        <v>156</v>
      </c>
      <c r="E320" s="20" t="n">
        <v>8.68</v>
      </c>
      <c r="G320" s="22" t="n">
        <v>156</v>
      </c>
      <c r="H320" s="20" t="n">
        <v>8.68</v>
      </c>
    </row>
    <row r="321" customFormat="false" ht="15" hidden="false" customHeight="false" outlineLevel="0" collapsed="false">
      <c r="A321" s="22" t="n">
        <v>158</v>
      </c>
      <c r="B321" s="20" t="n">
        <v>8.32</v>
      </c>
      <c r="D321" s="22" t="n">
        <v>158</v>
      </c>
      <c r="E321" s="20" t="n">
        <v>8.96</v>
      </c>
      <c r="G321" s="22" t="n">
        <v>158</v>
      </c>
      <c r="H321" s="20" t="n">
        <v>8.96</v>
      </c>
    </row>
    <row r="322" customFormat="false" ht="15" hidden="false" customHeight="false" outlineLevel="0" collapsed="false">
      <c r="A322" s="22" t="n">
        <v>160</v>
      </c>
      <c r="B322" s="20" t="n">
        <v>8.32</v>
      </c>
      <c r="D322" s="22" t="n">
        <v>160</v>
      </c>
      <c r="E322" s="20" t="n">
        <v>8.96</v>
      </c>
      <c r="G322" s="22" t="n">
        <v>160</v>
      </c>
      <c r="H322" s="20" t="n">
        <v>8.96</v>
      </c>
    </row>
    <row r="323" customFormat="false" ht="15" hidden="false" customHeight="false" outlineLevel="0" collapsed="false">
      <c r="A323" s="22" t="n">
        <v>162</v>
      </c>
      <c r="B323" s="20" t="n">
        <v>8.58</v>
      </c>
      <c r="D323" s="22" t="n">
        <v>162</v>
      </c>
      <c r="E323" s="20" t="n">
        <v>9.24</v>
      </c>
      <c r="G323" s="22" t="n">
        <v>162</v>
      </c>
      <c r="H323" s="20" t="n">
        <v>9.24</v>
      </c>
    </row>
    <row r="324" customFormat="false" ht="15" hidden="false" customHeight="false" outlineLevel="0" collapsed="false">
      <c r="A324" s="22" t="n">
        <v>164</v>
      </c>
      <c r="B324" s="20" t="n">
        <v>8.58</v>
      </c>
      <c r="D324" s="22" t="n">
        <v>164</v>
      </c>
      <c r="E324" s="20" t="n">
        <v>9.24</v>
      </c>
      <c r="G324" s="22" t="n">
        <v>164</v>
      </c>
      <c r="H324" s="20" t="n">
        <v>9.24</v>
      </c>
    </row>
    <row r="325" customFormat="false" ht="15" hidden="false" customHeight="false" outlineLevel="0" collapsed="false">
      <c r="A325" s="22" t="n">
        <v>166</v>
      </c>
      <c r="B325" s="20" t="n">
        <v>8.84</v>
      </c>
      <c r="D325" s="22" t="n">
        <v>166</v>
      </c>
      <c r="E325" s="20" t="n">
        <v>9.52</v>
      </c>
      <c r="G325" s="22" t="n">
        <v>166</v>
      </c>
      <c r="H325" s="20" t="n">
        <v>9.52</v>
      </c>
    </row>
    <row r="326" customFormat="false" ht="15" hidden="false" customHeight="false" outlineLevel="0" collapsed="false">
      <c r="A326" s="22" t="n">
        <v>168</v>
      </c>
      <c r="B326" s="20" t="n">
        <v>8.84</v>
      </c>
      <c r="D326" s="22" t="n">
        <v>168</v>
      </c>
      <c r="E326" s="20" t="n">
        <v>9.52</v>
      </c>
      <c r="G326" s="22" t="n">
        <v>168</v>
      </c>
      <c r="H326" s="20" t="n">
        <v>9.52</v>
      </c>
    </row>
    <row r="327" customFormat="false" ht="15" hidden="false" customHeight="false" outlineLevel="0" collapsed="false">
      <c r="A327" s="22" t="n">
        <v>170</v>
      </c>
      <c r="B327" s="20" t="n">
        <v>9.1</v>
      </c>
      <c r="D327" s="22" t="n">
        <v>170</v>
      </c>
      <c r="E327" s="20" t="n">
        <v>9.8</v>
      </c>
      <c r="G327" s="22" t="n">
        <v>170</v>
      </c>
      <c r="H327" s="20" t="n">
        <v>9.8</v>
      </c>
    </row>
    <row r="328" customFormat="false" ht="15" hidden="false" customHeight="false" outlineLevel="0" collapsed="false">
      <c r="A328" s="22" t="n">
        <v>172</v>
      </c>
      <c r="B328" s="20" t="n">
        <v>9.1</v>
      </c>
      <c r="D328" s="22" t="n">
        <v>172</v>
      </c>
      <c r="E328" s="20" t="n">
        <v>9.8</v>
      </c>
      <c r="G328" s="22" t="n">
        <v>172</v>
      </c>
      <c r="H328" s="20" t="n">
        <v>9.8</v>
      </c>
    </row>
    <row r="329" customFormat="false" ht="15" hidden="false" customHeight="false" outlineLevel="0" collapsed="false">
      <c r="A329" s="22" t="n">
        <v>174</v>
      </c>
      <c r="B329" s="20" t="n">
        <v>9.36</v>
      </c>
      <c r="D329" s="22" t="n">
        <v>174</v>
      </c>
      <c r="E329" s="20" t="n">
        <v>10.08</v>
      </c>
      <c r="G329" s="22" t="n">
        <v>174</v>
      </c>
      <c r="H329" s="20" t="n">
        <v>10.08</v>
      </c>
    </row>
    <row r="330" customFormat="false" ht="15" hidden="false" customHeight="false" outlineLevel="0" collapsed="false">
      <c r="A330" s="22" t="n">
        <v>176</v>
      </c>
      <c r="B330" s="20" t="n">
        <v>9.36</v>
      </c>
      <c r="D330" s="22" t="n">
        <v>176</v>
      </c>
      <c r="E330" s="20" t="n">
        <v>10.08</v>
      </c>
      <c r="G330" s="22" t="n">
        <v>176</v>
      </c>
      <c r="H330" s="20" t="n">
        <v>10.08</v>
      </c>
    </row>
    <row r="331" customFormat="false" ht="15" hidden="false" customHeight="false" outlineLevel="0" collapsed="false">
      <c r="A331" s="22" t="n">
        <v>178</v>
      </c>
      <c r="B331" s="20" t="n">
        <v>9.62</v>
      </c>
      <c r="D331" s="22" t="n">
        <v>178</v>
      </c>
      <c r="E331" s="20" t="n">
        <v>10.36</v>
      </c>
      <c r="G331" s="22" t="n">
        <v>178</v>
      </c>
      <c r="H331" s="20" t="n">
        <v>10.36</v>
      </c>
    </row>
    <row r="332" customFormat="false" ht="15" hidden="false" customHeight="false" outlineLevel="0" collapsed="false">
      <c r="A332" s="22" t="n">
        <v>180</v>
      </c>
      <c r="B332" s="20" t="n">
        <v>9.62</v>
      </c>
      <c r="D332" s="22" t="n">
        <v>180</v>
      </c>
      <c r="E332" s="20" t="n">
        <v>10.36</v>
      </c>
      <c r="G332" s="22" t="n">
        <v>180</v>
      </c>
      <c r="H332" s="20" t="n">
        <v>10.36</v>
      </c>
    </row>
    <row r="333" customFormat="false" ht="15" hidden="false" customHeight="false" outlineLevel="0" collapsed="false">
      <c r="A333" s="22" t="n">
        <v>182</v>
      </c>
      <c r="B333" s="20" t="n">
        <v>9.88</v>
      </c>
      <c r="D333" s="22" t="n">
        <v>182</v>
      </c>
      <c r="E333" s="20" t="n">
        <v>10.64</v>
      </c>
      <c r="G333" s="22" t="n">
        <v>182</v>
      </c>
      <c r="H333" s="20" t="n">
        <v>10.64</v>
      </c>
    </row>
    <row r="334" customFormat="false" ht="15" hidden="false" customHeight="false" outlineLevel="0" collapsed="false">
      <c r="A334" s="22" t="n">
        <v>184</v>
      </c>
      <c r="B334" s="20" t="n">
        <v>9.88</v>
      </c>
      <c r="D334" s="22" t="n">
        <v>184</v>
      </c>
      <c r="E334" s="20" t="n">
        <v>10.64</v>
      </c>
      <c r="G334" s="22" t="n">
        <v>184</v>
      </c>
      <c r="H334" s="20" t="n">
        <v>10.64</v>
      </c>
    </row>
    <row r="335" customFormat="false" ht="15" hidden="false" customHeight="false" outlineLevel="0" collapsed="false">
      <c r="A335" s="22" t="n">
        <v>186</v>
      </c>
      <c r="B335" s="20" t="n">
        <v>10.14</v>
      </c>
      <c r="D335" s="22" t="n">
        <v>186</v>
      </c>
      <c r="E335" s="20" t="n">
        <v>10.92</v>
      </c>
      <c r="G335" s="22" t="n">
        <v>186</v>
      </c>
      <c r="H335" s="20" t="n">
        <v>10.92</v>
      </c>
    </row>
    <row r="336" customFormat="false" ht="15" hidden="false" customHeight="false" outlineLevel="0" collapsed="false">
      <c r="A336" s="22" t="n">
        <v>188</v>
      </c>
      <c r="B336" s="20" t="n">
        <v>10.14</v>
      </c>
      <c r="D336" s="22" t="n">
        <v>188</v>
      </c>
      <c r="E336" s="20" t="n">
        <v>10.92</v>
      </c>
      <c r="G336" s="22" t="n">
        <v>188</v>
      </c>
      <c r="H336" s="20" t="n">
        <v>10.92</v>
      </c>
    </row>
    <row r="337" customFormat="false" ht="15" hidden="false" customHeight="false" outlineLevel="0" collapsed="false">
      <c r="A337" s="22" t="n">
        <v>190</v>
      </c>
      <c r="B337" s="20" t="n">
        <v>10.4</v>
      </c>
      <c r="D337" s="22" t="n">
        <v>190</v>
      </c>
      <c r="E337" s="20" t="n">
        <v>11.2</v>
      </c>
      <c r="G337" s="22" t="n">
        <v>190</v>
      </c>
      <c r="H337" s="20" t="n">
        <v>11.2</v>
      </c>
    </row>
    <row r="338" customFormat="false" ht="15" hidden="false" customHeight="false" outlineLevel="0" collapsed="false">
      <c r="A338" s="22" t="n">
        <v>192</v>
      </c>
      <c r="B338" s="20" t="n">
        <v>10.4</v>
      </c>
      <c r="D338" s="22" t="n">
        <v>192</v>
      </c>
      <c r="E338" s="20" t="n">
        <v>11.2</v>
      </c>
      <c r="G338" s="22" t="n">
        <v>192</v>
      </c>
      <c r="H338" s="20" t="n">
        <v>11.2</v>
      </c>
    </row>
    <row r="339" customFormat="false" ht="15" hidden="false" customHeight="false" outlineLevel="0" collapsed="false">
      <c r="A339" s="22" t="n">
        <v>194</v>
      </c>
      <c r="B339" s="20" t="n">
        <v>10.66</v>
      </c>
      <c r="D339" s="22" t="n">
        <v>194</v>
      </c>
      <c r="E339" s="20" t="n">
        <v>11.48</v>
      </c>
      <c r="G339" s="22" t="n">
        <v>194</v>
      </c>
      <c r="H339" s="20" t="n">
        <v>11.48</v>
      </c>
    </row>
    <row r="340" customFormat="false" ht="15" hidden="false" customHeight="false" outlineLevel="0" collapsed="false">
      <c r="A340" s="22" t="n">
        <v>196</v>
      </c>
      <c r="B340" s="20" t="n">
        <v>10.66</v>
      </c>
      <c r="D340" s="22" t="n">
        <v>196</v>
      </c>
      <c r="E340" s="20" t="n">
        <v>11.48</v>
      </c>
      <c r="G340" s="22" t="n">
        <v>196</v>
      </c>
      <c r="H340" s="20" t="n">
        <v>11.48</v>
      </c>
    </row>
    <row r="341" customFormat="false" ht="15" hidden="false" customHeight="false" outlineLevel="0" collapsed="false">
      <c r="A341" s="22" t="n">
        <v>198</v>
      </c>
      <c r="B341" s="20" t="n">
        <v>10.92</v>
      </c>
      <c r="D341" s="22" t="n">
        <v>198</v>
      </c>
      <c r="E341" s="20" t="n">
        <v>11.76</v>
      </c>
      <c r="G341" s="22" t="n">
        <v>198</v>
      </c>
      <c r="H341" s="20" t="n">
        <v>11.76</v>
      </c>
    </row>
    <row r="342" customFormat="false" ht="15" hidden="false" customHeight="false" outlineLevel="0" collapsed="false">
      <c r="A342" s="22" t="n">
        <v>200</v>
      </c>
      <c r="B342" s="20" t="n">
        <v>10.92</v>
      </c>
      <c r="D342" s="22" t="n">
        <v>200</v>
      </c>
      <c r="E342" s="20" t="n">
        <v>11.76</v>
      </c>
      <c r="G342" s="22" t="n">
        <v>200</v>
      </c>
      <c r="H342" s="20" t="n">
        <v>11.76</v>
      </c>
    </row>
    <row r="343" customFormat="false" ht="15" hidden="false" customHeight="false" outlineLevel="0" collapsed="false">
      <c r="A343" s="22" t="n">
        <v>202</v>
      </c>
      <c r="B343" s="20" t="n">
        <v>11.18</v>
      </c>
      <c r="D343" s="22" t="n">
        <v>202</v>
      </c>
      <c r="E343" s="20" t="n">
        <v>12.04</v>
      </c>
      <c r="G343" s="22" t="n">
        <v>202</v>
      </c>
      <c r="H343" s="20" t="n">
        <v>12.04</v>
      </c>
    </row>
    <row r="344" customFormat="false" ht="15" hidden="false" customHeight="false" outlineLevel="0" collapsed="false">
      <c r="A344" s="22" t="n">
        <v>204</v>
      </c>
      <c r="B344" s="20" t="n">
        <v>11.18</v>
      </c>
      <c r="D344" s="22" t="n">
        <v>204</v>
      </c>
      <c r="E344" s="20" t="n">
        <v>12.04</v>
      </c>
      <c r="G344" s="22" t="n">
        <v>204</v>
      </c>
      <c r="H344" s="20" t="n">
        <v>12.04</v>
      </c>
    </row>
    <row r="345" customFormat="false" ht="15" hidden="false" customHeight="false" outlineLevel="0" collapsed="false">
      <c r="A345" s="22" t="n">
        <v>206</v>
      </c>
      <c r="B345" s="20" t="n">
        <v>11.44</v>
      </c>
      <c r="D345" s="22" t="n">
        <v>206</v>
      </c>
      <c r="E345" s="20" t="n">
        <v>12.32</v>
      </c>
      <c r="G345" s="22" t="n">
        <v>206</v>
      </c>
      <c r="H345" s="20" t="n">
        <v>12.32</v>
      </c>
    </row>
    <row r="346" customFormat="false" ht="15" hidden="false" customHeight="false" outlineLevel="0" collapsed="false">
      <c r="A346" s="22" t="n">
        <v>208</v>
      </c>
      <c r="B346" s="20" t="n">
        <v>11.44</v>
      </c>
      <c r="D346" s="22" t="n">
        <v>208</v>
      </c>
      <c r="E346" s="20" t="n">
        <v>12.32</v>
      </c>
      <c r="G346" s="22" t="n">
        <v>208</v>
      </c>
      <c r="H346" s="20" t="n">
        <v>12.32</v>
      </c>
    </row>
    <row r="347" customFormat="false" ht="15" hidden="false" customHeight="false" outlineLevel="0" collapsed="false">
      <c r="A347" s="22" t="n">
        <v>210</v>
      </c>
      <c r="B347" s="20" t="n">
        <v>11.7</v>
      </c>
      <c r="D347" s="22" t="n">
        <v>210</v>
      </c>
      <c r="E347" s="20" t="n">
        <v>12.6</v>
      </c>
      <c r="G347" s="22" t="n">
        <v>210</v>
      </c>
      <c r="H347" s="20" t="n">
        <v>12.6</v>
      </c>
    </row>
    <row r="348" customFormat="false" ht="15" hidden="false" customHeight="false" outlineLevel="0" collapsed="false">
      <c r="A348" s="22" t="n">
        <v>212</v>
      </c>
      <c r="B348" s="20" t="n">
        <v>11.7</v>
      </c>
      <c r="D348" s="22" t="n">
        <v>212</v>
      </c>
      <c r="E348" s="20" t="n">
        <v>12.6</v>
      </c>
      <c r="G348" s="22" t="n">
        <v>212</v>
      </c>
      <c r="H348" s="20" t="n">
        <v>12.6</v>
      </c>
    </row>
    <row r="349" customFormat="false" ht="15" hidden="false" customHeight="false" outlineLevel="0" collapsed="false">
      <c r="A349" s="22" t="n">
        <v>214</v>
      </c>
      <c r="B349" s="20" t="n">
        <v>11.96</v>
      </c>
      <c r="D349" s="22" t="n">
        <v>214</v>
      </c>
      <c r="E349" s="20" t="n">
        <v>12.88</v>
      </c>
      <c r="G349" s="22" t="n">
        <v>214</v>
      </c>
      <c r="H349" s="20" t="n">
        <v>12.88</v>
      </c>
    </row>
    <row r="350" customFormat="false" ht="15" hidden="false" customHeight="false" outlineLevel="0" collapsed="false">
      <c r="A350" s="22" t="n">
        <v>216</v>
      </c>
      <c r="B350" s="20" t="n">
        <v>11.96</v>
      </c>
      <c r="D350" s="22" t="n">
        <v>216</v>
      </c>
      <c r="E350" s="20" t="n">
        <v>12.88</v>
      </c>
      <c r="G350" s="22" t="n">
        <v>216</v>
      </c>
      <c r="H350" s="20" t="n">
        <v>12.88</v>
      </c>
    </row>
    <row r="351" customFormat="false" ht="15" hidden="false" customHeight="false" outlineLevel="0" collapsed="false">
      <c r="A351" s="22" t="n">
        <v>218</v>
      </c>
      <c r="B351" s="20" t="n">
        <v>12.22</v>
      </c>
      <c r="D351" s="22" t="n">
        <v>218</v>
      </c>
      <c r="E351" s="20" t="n">
        <v>13.16</v>
      </c>
      <c r="G351" s="22" t="n">
        <v>218</v>
      </c>
      <c r="H351" s="20" t="n">
        <v>13.16</v>
      </c>
    </row>
    <row r="352" customFormat="false" ht="15" hidden="false" customHeight="false" outlineLevel="0" collapsed="false">
      <c r="A352" s="22" t="n">
        <v>220</v>
      </c>
      <c r="B352" s="20" t="n">
        <v>12.22</v>
      </c>
      <c r="D352" s="22" t="n">
        <v>220</v>
      </c>
      <c r="E352" s="20" t="n">
        <v>13.16</v>
      </c>
      <c r="G352" s="22" t="n">
        <v>220</v>
      </c>
      <c r="H352" s="20" t="n">
        <v>13.16</v>
      </c>
    </row>
    <row r="353" customFormat="false" ht="15" hidden="false" customHeight="false" outlineLevel="0" collapsed="false">
      <c r="A353" s="22" t="n">
        <v>222</v>
      </c>
      <c r="B353" s="20" t="n">
        <v>12.48</v>
      </c>
      <c r="D353" s="22" t="n">
        <v>222</v>
      </c>
      <c r="E353" s="20" t="n">
        <v>13.44</v>
      </c>
      <c r="G353" s="22" t="n">
        <v>222</v>
      </c>
      <c r="H353" s="20" t="n">
        <v>13.44</v>
      </c>
    </row>
    <row r="354" customFormat="false" ht="15" hidden="false" customHeight="false" outlineLevel="0" collapsed="false">
      <c r="A354" s="22" t="n">
        <v>224</v>
      </c>
      <c r="B354" s="20" t="n">
        <v>12.48</v>
      </c>
      <c r="D354" s="22" t="n">
        <v>224</v>
      </c>
      <c r="E354" s="20" t="n">
        <v>13.44</v>
      </c>
      <c r="G354" s="22" t="n">
        <v>224</v>
      </c>
      <c r="H354" s="20" t="n">
        <v>13.44</v>
      </c>
    </row>
    <row r="355" customFormat="false" ht="15" hidden="false" customHeight="false" outlineLevel="0" collapsed="false">
      <c r="A355" s="22" t="n">
        <v>226</v>
      </c>
      <c r="B355" s="20" t="n">
        <v>12.74</v>
      </c>
      <c r="D355" s="22" t="n">
        <v>226</v>
      </c>
      <c r="E355" s="20" t="n">
        <v>13.72</v>
      </c>
      <c r="G355" s="22" t="n">
        <v>226</v>
      </c>
      <c r="H355" s="20" t="n">
        <v>13.72</v>
      </c>
    </row>
    <row r="356" customFormat="false" ht="15" hidden="false" customHeight="false" outlineLevel="0" collapsed="false">
      <c r="A356" s="22" t="n">
        <v>228</v>
      </c>
      <c r="B356" s="20" t="n">
        <v>12.74</v>
      </c>
      <c r="D356" s="22" t="n">
        <v>228</v>
      </c>
      <c r="E356" s="20" t="n">
        <v>13.72</v>
      </c>
      <c r="G356" s="22" t="n">
        <v>228</v>
      </c>
      <c r="H356" s="20" t="n">
        <v>13.72</v>
      </c>
    </row>
    <row r="357" customFormat="false" ht="15" hidden="false" customHeight="false" outlineLevel="0" collapsed="false">
      <c r="A357" s="22" t="n">
        <v>230</v>
      </c>
      <c r="B357" s="20" t="n">
        <v>13</v>
      </c>
      <c r="D357" s="22" t="n">
        <v>230</v>
      </c>
      <c r="E357" s="20" t="n">
        <v>14</v>
      </c>
      <c r="G357" s="22" t="n">
        <v>230</v>
      </c>
      <c r="H357" s="20" t="n">
        <v>14</v>
      </c>
    </row>
    <row r="358" customFormat="false" ht="15" hidden="false" customHeight="false" outlineLevel="0" collapsed="false">
      <c r="A358" s="22" t="n">
        <v>232</v>
      </c>
      <c r="B358" s="20" t="n">
        <v>13</v>
      </c>
      <c r="D358" s="22" t="n">
        <v>232</v>
      </c>
      <c r="E358" s="20" t="n">
        <v>14</v>
      </c>
      <c r="G358" s="22" t="n">
        <v>232</v>
      </c>
      <c r="H358" s="20" t="n">
        <v>14</v>
      </c>
    </row>
    <row r="359" customFormat="false" ht="15" hidden="false" customHeight="false" outlineLevel="0" collapsed="false">
      <c r="A359" s="22" t="n">
        <v>234</v>
      </c>
      <c r="B359" s="20" t="n">
        <v>13.26</v>
      </c>
      <c r="D359" s="22" t="n">
        <v>234</v>
      </c>
      <c r="E359" s="20" t="n">
        <v>14.28</v>
      </c>
      <c r="G359" s="22" t="n">
        <v>234</v>
      </c>
      <c r="H359" s="20" t="n">
        <v>14.28</v>
      </c>
    </row>
    <row r="360" customFormat="false" ht="15" hidden="false" customHeight="false" outlineLevel="0" collapsed="false">
      <c r="A360" s="22" t="n">
        <v>236</v>
      </c>
      <c r="B360" s="20" t="n">
        <v>13.26</v>
      </c>
      <c r="D360" s="22" t="n">
        <v>236</v>
      </c>
      <c r="E360" s="20" t="n">
        <v>14.28</v>
      </c>
      <c r="G360" s="22" t="n">
        <v>236</v>
      </c>
      <c r="H360" s="20" t="n">
        <v>14.28</v>
      </c>
    </row>
    <row r="361" customFormat="false" ht="15" hidden="false" customHeight="false" outlineLevel="0" collapsed="false">
      <c r="A361" s="22" t="n">
        <v>238</v>
      </c>
      <c r="B361" s="20" t="n">
        <v>13.52</v>
      </c>
      <c r="D361" s="22" t="n">
        <v>238</v>
      </c>
      <c r="E361" s="20" t="n">
        <v>14.56</v>
      </c>
      <c r="G361" s="22" t="n">
        <v>238</v>
      </c>
      <c r="H361" s="20" t="n">
        <v>14.56</v>
      </c>
    </row>
    <row r="362" customFormat="false" ht="15" hidden="false" customHeight="false" outlineLevel="0" collapsed="false">
      <c r="A362" s="22" t="n">
        <v>240</v>
      </c>
      <c r="B362" s="20" t="n">
        <v>13.52</v>
      </c>
      <c r="D362" s="22" t="n">
        <v>240</v>
      </c>
      <c r="E362" s="20" t="n">
        <v>14.56</v>
      </c>
      <c r="G362" s="22" t="n">
        <v>240</v>
      </c>
      <c r="H362" s="20" t="n">
        <v>14.56</v>
      </c>
    </row>
    <row r="363" customFormat="false" ht="15" hidden="false" customHeight="false" outlineLevel="0" collapsed="false">
      <c r="A363" s="22" t="n">
        <v>242</v>
      </c>
      <c r="B363" s="20" t="n">
        <v>13.78</v>
      </c>
      <c r="D363" s="22" t="n">
        <v>242</v>
      </c>
      <c r="E363" s="20" t="n">
        <v>14.84</v>
      </c>
      <c r="G363" s="22" t="n">
        <v>242</v>
      </c>
      <c r="H363" s="20" t="n">
        <v>14.84</v>
      </c>
    </row>
    <row r="364" customFormat="false" ht="15" hidden="false" customHeight="false" outlineLevel="0" collapsed="false">
      <c r="A364" s="22" t="n">
        <v>244</v>
      </c>
      <c r="B364" s="20" t="n">
        <v>13.78</v>
      </c>
      <c r="D364" s="22" t="n">
        <v>244</v>
      </c>
      <c r="E364" s="20" t="n">
        <v>14.84</v>
      </c>
      <c r="G364" s="22" t="n">
        <v>244</v>
      </c>
      <c r="H364" s="20" t="n">
        <v>14.84</v>
      </c>
    </row>
    <row r="365" customFormat="false" ht="15" hidden="false" customHeight="false" outlineLevel="0" collapsed="false">
      <c r="A365" s="22" t="n">
        <v>246</v>
      </c>
      <c r="B365" s="20" t="n">
        <v>14.04</v>
      </c>
      <c r="D365" s="22" t="n">
        <v>246</v>
      </c>
      <c r="E365" s="20" t="n">
        <v>15.12</v>
      </c>
      <c r="G365" s="22" t="n">
        <v>246</v>
      </c>
      <c r="H365" s="20" t="n">
        <v>15.12</v>
      </c>
    </row>
    <row r="366" customFormat="false" ht="15" hidden="false" customHeight="false" outlineLevel="0" collapsed="false">
      <c r="A366" s="22" t="n">
        <v>248</v>
      </c>
      <c r="B366" s="20" t="n">
        <v>14.04</v>
      </c>
      <c r="D366" s="22" t="n">
        <v>248</v>
      </c>
      <c r="E366" s="20" t="n">
        <v>15.12</v>
      </c>
      <c r="G366" s="22" t="n">
        <v>248</v>
      </c>
      <c r="H366" s="20" t="n">
        <v>15.12</v>
      </c>
    </row>
    <row r="367" customFormat="false" ht="15" hidden="false" customHeight="false" outlineLevel="0" collapsed="false">
      <c r="A367" s="22" t="n">
        <v>250</v>
      </c>
      <c r="B367" s="20" t="n">
        <v>14.3</v>
      </c>
      <c r="D367" s="22" t="n">
        <v>250</v>
      </c>
      <c r="E367" s="20" t="n">
        <v>15.4</v>
      </c>
      <c r="G367" s="22" t="n">
        <v>250</v>
      </c>
      <c r="H367" s="20" t="n">
        <v>15.4</v>
      </c>
    </row>
    <row r="368" customFormat="false" ht="15" hidden="false" customHeight="false" outlineLevel="0" collapsed="false">
      <c r="A368" s="22" t="n">
        <v>252</v>
      </c>
      <c r="B368" s="20" t="n">
        <v>14.3</v>
      </c>
      <c r="D368" s="22" t="n">
        <v>252</v>
      </c>
      <c r="E368" s="20" t="n">
        <v>15.4</v>
      </c>
      <c r="G368" s="22" t="n">
        <v>252</v>
      </c>
      <c r="H368" s="20" t="n">
        <v>15.4</v>
      </c>
    </row>
    <row r="369" customFormat="false" ht="15" hidden="false" customHeight="false" outlineLevel="0" collapsed="false">
      <c r="A369" s="22" t="n">
        <v>254</v>
      </c>
      <c r="B369" s="20" t="n">
        <v>14.56</v>
      </c>
      <c r="D369" s="22" t="n">
        <v>254</v>
      </c>
      <c r="E369" s="20" t="n">
        <v>15.68</v>
      </c>
      <c r="G369" s="22" t="n">
        <v>254</v>
      </c>
      <c r="H369" s="20" t="n">
        <v>15.68</v>
      </c>
    </row>
    <row r="370" customFormat="false" ht="15" hidden="false" customHeight="false" outlineLevel="0" collapsed="false">
      <c r="A370" s="22" t="n">
        <v>256</v>
      </c>
      <c r="B370" s="20" t="n">
        <v>14.56</v>
      </c>
      <c r="D370" s="22" t="n">
        <v>256</v>
      </c>
      <c r="E370" s="20" t="n">
        <v>15.68</v>
      </c>
      <c r="G370" s="22" t="n">
        <v>256</v>
      </c>
      <c r="H370" s="20" t="n">
        <v>15.68</v>
      </c>
    </row>
    <row r="371" customFormat="false" ht="15" hidden="false" customHeight="false" outlineLevel="0" collapsed="false">
      <c r="A371" s="22" t="n">
        <v>258</v>
      </c>
      <c r="B371" s="20" t="n">
        <v>14.82</v>
      </c>
      <c r="D371" s="22" t="n">
        <v>258</v>
      </c>
      <c r="E371" s="20" t="n">
        <v>15.96</v>
      </c>
      <c r="G371" s="22" t="n">
        <v>258</v>
      </c>
      <c r="H371" s="20" t="n">
        <v>15.96</v>
      </c>
    </row>
    <row r="372" customFormat="false" ht="15" hidden="false" customHeight="false" outlineLevel="0" collapsed="false">
      <c r="A372" s="22" t="n">
        <v>260</v>
      </c>
      <c r="B372" s="20" t="n">
        <v>14.82</v>
      </c>
      <c r="D372" s="22" t="n">
        <v>260</v>
      </c>
      <c r="E372" s="20" t="n">
        <v>15.96</v>
      </c>
      <c r="G372" s="22" t="n">
        <v>260</v>
      </c>
      <c r="H372" s="20" t="n">
        <v>15.96</v>
      </c>
    </row>
    <row r="373" customFormat="false" ht="15" hidden="false" customHeight="false" outlineLevel="0" collapsed="false">
      <c r="A373" s="22" t="n">
        <v>262</v>
      </c>
      <c r="B373" s="20" t="n">
        <v>15.08</v>
      </c>
      <c r="D373" s="22" t="n">
        <v>262</v>
      </c>
      <c r="E373" s="20" t="n">
        <v>16.24</v>
      </c>
      <c r="G373" s="22" t="n">
        <v>262</v>
      </c>
      <c r="H373" s="20" t="n">
        <v>16.24</v>
      </c>
    </row>
    <row r="374" customFormat="false" ht="15" hidden="false" customHeight="false" outlineLevel="0" collapsed="false">
      <c r="A374" s="22" t="n">
        <v>264</v>
      </c>
      <c r="B374" s="20" t="n">
        <v>15.08</v>
      </c>
      <c r="D374" s="22" t="n">
        <v>264</v>
      </c>
      <c r="E374" s="20" t="n">
        <v>16.24</v>
      </c>
      <c r="G374" s="22" t="n">
        <v>264</v>
      </c>
      <c r="H374" s="20" t="n">
        <v>16.24</v>
      </c>
    </row>
    <row r="375" customFormat="false" ht="15" hidden="false" customHeight="false" outlineLevel="0" collapsed="false">
      <c r="A375" s="22" t="n">
        <v>266</v>
      </c>
      <c r="B375" s="20" t="n">
        <v>15.34</v>
      </c>
      <c r="D375" s="22" t="n">
        <v>266</v>
      </c>
      <c r="E375" s="20" t="n">
        <v>16.52</v>
      </c>
      <c r="G375" s="22" t="n">
        <v>266</v>
      </c>
      <c r="H375" s="20" t="n">
        <v>16.52</v>
      </c>
    </row>
    <row r="376" customFormat="false" ht="15" hidden="false" customHeight="false" outlineLevel="0" collapsed="false">
      <c r="A376" s="22" t="n">
        <v>268</v>
      </c>
      <c r="B376" s="20" t="n">
        <v>15.34</v>
      </c>
      <c r="D376" s="22" t="n">
        <v>268</v>
      </c>
      <c r="E376" s="20" t="n">
        <v>16.52</v>
      </c>
      <c r="G376" s="22" t="n">
        <v>268</v>
      </c>
      <c r="H376" s="20" t="n">
        <v>16.52</v>
      </c>
    </row>
    <row r="377" customFormat="false" ht="15" hidden="false" customHeight="false" outlineLevel="0" collapsed="false">
      <c r="A377" s="22" t="n">
        <v>270</v>
      </c>
      <c r="B377" s="20" t="n">
        <v>15.6</v>
      </c>
      <c r="D377" s="22" t="n">
        <v>270</v>
      </c>
      <c r="E377" s="20" t="n">
        <v>16.8</v>
      </c>
      <c r="G377" s="22" t="n">
        <v>270</v>
      </c>
      <c r="H377" s="20" t="n">
        <v>16.8</v>
      </c>
    </row>
    <row r="378" customFormat="false" ht="15" hidden="false" customHeight="false" outlineLevel="0" collapsed="false">
      <c r="A378" s="22" t="n">
        <v>272</v>
      </c>
      <c r="B378" s="20" t="n">
        <v>15.6</v>
      </c>
      <c r="D378" s="22" t="n">
        <v>272</v>
      </c>
      <c r="E378" s="20" t="n">
        <v>16.8</v>
      </c>
      <c r="G378" s="22" t="n">
        <v>272</v>
      </c>
      <c r="H378" s="20" t="n">
        <v>16.8</v>
      </c>
    </row>
    <row r="379" customFormat="false" ht="15" hidden="false" customHeight="false" outlineLevel="0" collapsed="false">
      <c r="A379" s="22" t="n">
        <v>274</v>
      </c>
      <c r="B379" s="20" t="n">
        <v>15.86</v>
      </c>
      <c r="D379" s="22" t="n">
        <v>274</v>
      </c>
      <c r="E379" s="20" t="n">
        <v>17.08</v>
      </c>
      <c r="G379" s="22" t="n">
        <v>274</v>
      </c>
      <c r="H379" s="20" t="n">
        <v>17.08</v>
      </c>
    </row>
    <row r="380" customFormat="false" ht="15" hidden="false" customHeight="false" outlineLevel="0" collapsed="false">
      <c r="A380" s="22" t="n">
        <v>276</v>
      </c>
      <c r="B380" s="20" t="n">
        <v>15.86</v>
      </c>
      <c r="D380" s="22" t="n">
        <v>276</v>
      </c>
      <c r="E380" s="20" t="n">
        <v>17.08</v>
      </c>
      <c r="G380" s="22" t="n">
        <v>276</v>
      </c>
      <c r="H380" s="20" t="n">
        <v>17.08</v>
      </c>
    </row>
    <row r="381" customFormat="false" ht="15" hidden="false" customHeight="false" outlineLevel="0" collapsed="false">
      <c r="A381" s="22" t="n">
        <v>278</v>
      </c>
      <c r="B381" s="20" t="n">
        <v>16.12</v>
      </c>
      <c r="D381" s="22" t="n">
        <v>278</v>
      </c>
      <c r="E381" s="20" t="n">
        <v>17.36</v>
      </c>
      <c r="G381" s="22" t="n">
        <v>278</v>
      </c>
      <c r="H381" s="20" t="n">
        <v>17.36</v>
      </c>
    </row>
    <row r="382" customFormat="false" ht="15" hidden="false" customHeight="false" outlineLevel="0" collapsed="false">
      <c r="A382" s="22" t="n">
        <v>280</v>
      </c>
      <c r="B382" s="20" t="n">
        <v>16.12</v>
      </c>
      <c r="D382" s="22" t="n">
        <v>280</v>
      </c>
      <c r="E382" s="20" t="n">
        <v>17.36</v>
      </c>
      <c r="G382" s="22" t="n">
        <v>280</v>
      </c>
      <c r="H382" s="20" t="n">
        <v>17.36</v>
      </c>
    </row>
    <row r="383" customFormat="false" ht="15" hidden="false" customHeight="false" outlineLevel="0" collapsed="false">
      <c r="A383" s="22" t="n">
        <v>282</v>
      </c>
      <c r="B383" s="20" t="n">
        <v>16.38</v>
      </c>
      <c r="D383" s="22" t="n">
        <v>282</v>
      </c>
      <c r="E383" s="20" t="n">
        <v>17.64</v>
      </c>
      <c r="G383" s="22" t="n">
        <v>282</v>
      </c>
      <c r="H383" s="20" t="n">
        <v>17.64</v>
      </c>
    </row>
    <row r="384" customFormat="false" ht="15" hidden="false" customHeight="false" outlineLevel="0" collapsed="false">
      <c r="A384" s="22" t="n">
        <v>284</v>
      </c>
      <c r="B384" s="20" t="n">
        <v>16.38</v>
      </c>
      <c r="D384" s="22" t="n">
        <v>284</v>
      </c>
      <c r="E384" s="20" t="n">
        <v>17.64</v>
      </c>
      <c r="G384" s="22" t="n">
        <v>284</v>
      </c>
      <c r="H384" s="20" t="n">
        <v>17.64</v>
      </c>
    </row>
    <row r="385" customFormat="false" ht="15" hidden="false" customHeight="false" outlineLevel="0" collapsed="false">
      <c r="A385" s="22" t="n">
        <v>286</v>
      </c>
      <c r="B385" s="20" t="n">
        <v>16.64</v>
      </c>
      <c r="D385" s="22" t="n">
        <v>286</v>
      </c>
      <c r="E385" s="20" t="n">
        <v>17.92</v>
      </c>
      <c r="G385" s="22" t="n">
        <v>286</v>
      </c>
      <c r="H385" s="20" t="n">
        <v>17.92</v>
      </c>
    </row>
    <row r="386" customFormat="false" ht="15" hidden="false" customHeight="false" outlineLevel="0" collapsed="false">
      <c r="A386" s="22" t="n">
        <v>288</v>
      </c>
      <c r="B386" s="20" t="n">
        <v>16.64</v>
      </c>
      <c r="D386" s="22" t="n">
        <v>288</v>
      </c>
      <c r="E386" s="20" t="n">
        <v>17.92</v>
      </c>
      <c r="G386" s="22" t="n">
        <v>288</v>
      </c>
      <c r="H386" s="20" t="n">
        <v>17.92</v>
      </c>
    </row>
    <row r="387" customFormat="false" ht="15" hidden="false" customHeight="false" outlineLevel="0" collapsed="false">
      <c r="A387" s="22" t="n">
        <v>290</v>
      </c>
      <c r="B387" s="20" t="n">
        <v>16.9</v>
      </c>
      <c r="D387" s="22" t="n">
        <v>290</v>
      </c>
      <c r="E387" s="20" t="n">
        <v>18.2</v>
      </c>
      <c r="G387" s="22" t="n">
        <v>290</v>
      </c>
      <c r="H387" s="20" t="n">
        <v>18.2</v>
      </c>
    </row>
    <row r="388" customFormat="false" ht="15" hidden="false" customHeight="false" outlineLevel="0" collapsed="false">
      <c r="A388" s="22" t="n">
        <v>292</v>
      </c>
      <c r="B388" s="20" t="n">
        <v>16.9</v>
      </c>
      <c r="D388" s="22" t="n">
        <v>292</v>
      </c>
      <c r="E388" s="20" t="n">
        <v>18.2</v>
      </c>
      <c r="G388" s="22" t="n">
        <v>292</v>
      </c>
      <c r="H388" s="20" t="n">
        <v>18.2</v>
      </c>
    </row>
    <row r="389" customFormat="false" ht="15" hidden="false" customHeight="false" outlineLevel="0" collapsed="false">
      <c r="A389" s="22" t="n">
        <v>294</v>
      </c>
      <c r="B389" s="20" t="n">
        <v>17.16</v>
      </c>
      <c r="D389" s="22" t="n">
        <v>294</v>
      </c>
      <c r="E389" s="20" t="n">
        <v>18.48</v>
      </c>
      <c r="G389" s="22" t="n">
        <v>294</v>
      </c>
      <c r="H389" s="20" t="n">
        <v>18.48</v>
      </c>
    </row>
    <row r="390" customFormat="false" ht="15" hidden="false" customHeight="false" outlineLevel="0" collapsed="false">
      <c r="A390" s="22" t="n">
        <v>296</v>
      </c>
      <c r="B390" s="20" t="n">
        <v>17.16</v>
      </c>
      <c r="D390" s="22" t="n">
        <v>296</v>
      </c>
      <c r="E390" s="20" t="n">
        <v>18.48</v>
      </c>
      <c r="G390" s="22" t="n">
        <v>296</v>
      </c>
      <c r="H390" s="20" t="n">
        <v>18.48</v>
      </c>
    </row>
    <row r="391" customFormat="false" ht="15" hidden="false" customHeight="false" outlineLevel="0" collapsed="false">
      <c r="A391" s="22" t="n">
        <v>298</v>
      </c>
      <c r="B391" s="20" t="n">
        <v>17.42</v>
      </c>
      <c r="D391" s="22" t="n">
        <v>298</v>
      </c>
      <c r="E391" s="20" t="n">
        <v>18.76</v>
      </c>
      <c r="G391" s="22" t="n">
        <v>298</v>
      </c>
      <c r="H391" s="20" t="n">
        <v>18.76</v>
      </c>
    </row>
    <row r="392" customFormat="false" ht="15" hidden="false" customHeight="false" outlineLevel="0" collapsed="false">
      <c r="A392" s="22" t="n">
        <v>300</v>
      </c>
      <c r="B392" s="20" t="n">
        <v>17.42</v>
      </c>
      <c r="D392" s="22" t="n">
        <v>300</v>
      </c>
      <c r="E392" s="20" t="n">
        <v>18.76</v>
      </c>
      <c r="G392" s="22" t="n">
        <v>300</v>
      </c>
      <c r="H392" s="20" t="n">
        <v>18.76</v>
      </c>
    </row>
    <row r="393" customFormat="false" ht="15" hidden="false" customHeight="false" outlineLevel="0" collapsed="false">
      <c r="A393" s="22" t="n">
        <v>302</v>
      </c>
      <c r="B393" s="20" t="n">
        <v>17.68</v>
      </c>
      <c r="D393" s="22" t="n">
        <v>302</v>
      </c>
      <c r="E393" s="20" t="n">
        <v>19.04</v>
      </c>
      <c r="G393" s="22" t="n">
        <v>302</v>
      </c>
      <c r="H393" s="20" t="n">
        <v>19.04</v>
      </c>
    </row>
    <row r="394" customFormat="false" ht="15" hidden="false" customHeight="false" outlineLevel="0" collapsed="false">
      <c r="A394" s="22" t="n">
        <v>304</v>
      </c>
      <c r="B394" s="20" t="n">
        <v>17.68</v>
      </c>
      <c r="D394" s="22" t="n">
        <v>304</v>
      </c>
      <c r="E394" s="20" t="n">
        <v>19.04</v>
      </c>
      <c r="G394" s="22" t="n">
        <v>304</v>
      </c>
      <c r="H394" s="20" t="n">
        <v>19.04</v>
      </c>
    </row>
    <row r="395" customFormat="false" ht="15" hidden="false" customHeight="false" outlineLevel="0" collapsed="false">
      <c r="A395" s="22" t="n">
        <v>306</v>
      </c>
      <c r="B395" s="20" t="n">
        <v>17.94</v>
      </c>
      <c r="D395" s="22" t="n">
        <v>306</v>
      </c>
      <c r="E395" s="20" t="n">
        <v>19.32</v>
      </c>
      <c r="G395" s="22" t="n">
        <v>306</v>
      </c>
      <c r="H395" s="20" t="n">
        <v>19.32</v>
      </c>
    </row>
    <row r="396" customFormat="false" ht="15" hidden="false" customHeight="false" outlineLevel="0" collapsed="false">
      <c r="A396" s="22" t="n">
        <v>308</v>
      </c>
      <c r="B396" s="20" t="n">
        <v>17.94</v>
      </c>
      <c r="D396" s="22" t="n">
        <v>308</v>
      </c>
      <c r="E396" s="20" t="n">
        <v>19.32</v>
      </c>
      <c r="G396" s="22" t="n">
        <v>308</v>
      </c>
      <c r="H396" s="20" t="n">
        <v>19.32</v>
      </c>
    </row>
    <row r="397" customFormat="false" ht="15" hidden="false" customHeight="false" outlineLevel="0" collapsed="false">
      <c r="A397" s="22" t="n">
        <v>310</v>
      </c>
      <c r="B397" s="20" t="n">
        <v>18.2</v>
      </c>
      <c r="D397" s="22" t="n">
        <v>310</v>
      </c>
      <c r="E397" s="20" t="n">
        <v>19.6</v>
      </c>
      <c r="G397" s="22" t="n">
        <v>310</v>
      </c>
      <c r="H397" s="20" t="n">
        <v>19.6</v>
      </c>
    </row>
    <row r="398" customFormat="false" ht="15" hidden="false" customHeight="false" outlineLevel="0" collapsed="false">
      <c r="A398" s="22" t="n">
        <v>312</v>
      </c>
      <c r="B398" s="20" t="n">
        <v>18.2</v>
      </c>
      <c r="D398" s="22" t="n">
        <v>312</v>
      </c>
      <c r="E398" s="20" t="n">
        <v>19.6</v>
      </c>
      <c r="G398" s="22" t="n">
        <v>312</v>
      </c>
      <c r="H398" s="20" t="n">
        <v>19.6</v>
      </c>
    </row>
    <row r="399" customFormat="false" ht="15" hidden="false" customHeight="false" outlineLevel="0" collapsed="false">
      <c r="A399" s="22" t="n">
        <v>314</v>
      </c>
      <c r="B399" s="20" t="n">
        <v>18.46</v>
      </c>
      <c r="D399" s="22" t="n">
        <v>314</v>
      </c>
      <c r="E399" s="20" t="n">
        <v>19.88</v>
      </c>
      <c r="G399" s="22" t="n">
        <v>314</v>
      </c>
      <c r="H399" s="20" t="n">
        <v>19.88</v>
      </c>
    </row>
    <row r="400" customFormat="false" ht="15" hidden="false" customHeight="false" outlineLevel="0" collapsed="false">
      <c r="A400" s="22" t="n">
        <v>316</v>
      </c>
      <c r="B400" s="20" t="n">
        <v>18.46</v>
      </c>
      <c r="D400" s="22" t="n">
        <v>316</v>
      </c>
      <c r="E400" s="20" t="n">
        <v>19.88</v>
      </c>
      <c r="G400" s="22" t="n">
        <v>316</v>
      </c>
      <c r="H400" s="20" t="n">
        <v>19.88</v>
      </c>
    </row>
    <row r="401" customFormat="false" ht="15" hidden="false" customHeight="false" outlineLevel="0" collapsed="false">
      <c r="A401" s="22" t="n">
        <v>318</v>
      </c>
      <c r="B401" s="20" t="n">
        <v>18.72</v>
      </c>
      <c r="D401" s="22" t="n">
        <v>318</v>
      </c>
      <c r="E401" s="20" t="n">
        <v>20.16</v>
      </c>
      <c r="G401" s="22" t="n">
        <v>318</v>
      </c>
      <c r="H401" s="20" t="n">
        <v>20.16</v>
      </c>
    </row>
    <row r="402" customFormat="false" ht="15" hidden="false" customHeight="false" outlineLevel="0" collapsed="false">
      <c r="A402" s="22" t="n">
        <v>320</v>
      </c>
      <c r="B402" s="20" t="n">
        <v>18.72</v>
      </c>
      <c r="D402" s="22" t="n">
        <v>320</v>
      </c>
      <c r="E402" s="20" t="n">
        <v>20.16</v>
      </c>
      <c r="G402" s="22" t="n">
        <v>320</v>
      </c>
      <c r="H402" s="20" t="n">
        <v>20.16</v>
      </c>
    </row>
    <row r="403" customFormat="false" ht="15" hidden="false" customHeight="false" outlineLevel="0" collapsed="false">
      <c r="A403" s="22" t="n">
        <v>322</v>
      </c>
      <c r="B403" s="20" t="n">
        <v>18.98</v>
      </c>
      <c r="D403" s="22" t="n">
        <v>322</v>
      </c>
      <c r="E403" s="20" t="n">
        <v>20.44</v>
      </c>
      <c r="G403" s="22" t="n">
        <v>322</v>
      </c>
      <c r="H403" s="20" t="n">
        <v>20.44</v>
      </c>
    </row>
    <row r="404" customFormat="false" ht="15" hidden="false" customHeight="false" outlineLevel="0" collapsed="false">
      <c r="A404" s="22" t="n">
        <v>324</v>
      </c>
      <c r="B404" s="20" t="n">
        <v>18.98</v>
      </c>
      <c r="D404" s="22" t="n">
        <v>324</v>
      </c>
      <c r="E404" s="20" t="n">
        <v>20.44</v>
      </c>
      <c r="G404" s="22" t="n">
        <v>324</v>
      </c>
      <c r="H404" s="20" t="n">
        <v>20.44</v>
      </c>
    </row>
    <row r="405" customFormat="false" ht="15" hidden="false" customHeight="false" outlineLevel="0" collapsed="false">
      <c r="A405" s="22" t="n">
        <v>326</v>
      </c>
      <c r="B405" s="20" t="n">
        <v>19.24</v>
      </c>
      <c r="D405" s="22" t="n">
        <v>326</v>
      </c>
      <c r="E405" s="20" t="n">
        <v>20.72</v>
      </c>
      <c r="G405" s="22" t="n">
        <v>326</v>
      </c>
      <c r="H405" s="20" t="n">
        <v>20.72</v>
      </c>
    </row>
    <row r="406" customFormat="false" ht="15" hidden="false" customHeight="false" outlineLevel="0" collapsed="false">
      <c r="A406" s="22" t="n">
        <v>328</v>
      </c>
      <c r="B406" s="20" t="n">
        <v>19.24</v>
      </c>
      <c r="D406" s="22" t="n">
        <v>328</v>
      </c>
      <c r="E406" s="20" t="n">
        <v>20.72</v>
      </c>
      <c r="G406" s="22" t="n">
        <v>328</v>
      </c>
      <c r="H406" s="20" t="n">
        <v>20.72</v>
      </c>
    </row>
    <row r="407" customFormat="false" ht="15" hidden="false" customHeight="false" outlineLevel="0" collapsed="false">
      <c r="A407" s="22" t="n">
        <v>330</v>
      </c>
      <c r="B407" s="20" t="n">
        <v>19.5</v>
      </c>
      <c r="D407" s="22" t="n">
        <v>330</v>
      </c>
      <c r="E407" s="20" t="n">
        <v>21</v>
      </c>
      <c r="G407" s="22" t="n">
        <v>330</v>
      </c>
      <c r="H407" s="20" t="n">
        <v>21</v>
      </c>
    </row>
    <row r="408" customFormat="false" ht="15" hidden="false" customHeight="false" outlineLevel="0" collapsed="false">
      <c r="A408" s="22" t="n">
        <v>332</v>
      </c>
      <c r="B408" s="20" t="n">
        <v>19.5</v>
      </c>
      <c r="D408" s="22" t="n">
        <v>332</v>
      </c>
      <c r="E408" s="20" t="n">
        <v>21</v>
      </c>
      <c r="G408" s="22" t="n">
        <v>332</v>
      </c>
      <c r="H408" s="20" t="n">
        <v>21</v>
      </c>
    </row>
    <row r="409" customFormat="false" ht="15" hidden="false" customHeight="false" outlineLevel="0" collapsed="false">
      <c r="A409" s="22" t="n">
        <v>334</v>
      </c>
      <c r="B409" s="20" t="n">
        <v>19.76</v>
      </c>
      <c r="D409" s="22" t="n">
        <v>334</v>
      </c>
      <c r="E409" s="20" t="n">
        <v>21.28</v>
      </c>
      <c r="G409" s="22" t="n">
        <v>334</v>
      </c>
      <c r="H409" s="20" t="n">
        <v>21.28</v>
      </c>
    </row>
    <row r="410" customFormat="false" ht="15" hidden="false" customHeight="false" outlineLevel="0" collapsed="false">
      <c r="A410" s="22" t="n">
        <v>336</v>
      </c>
      <c r="B410" s="20" t="n">
        <v>19.76</v>
      </c>
      <c r="D410" s="22" t="n">
        <v>336</v>
      </c>
      <c r="E410" s="20" t="n">
        <v>21.28</v>
      </c>
      <c r="G410" s="22" t="n">
        <v>336</v>
      </c>
      <c r="H410" s="20" t="n">
        <v>21.28</v>
      </c>
    </row>
    <row r="411" customFormat="false" ht="15" hidden="false" customHeight="false" outlineLevel="0" collapsed="false">
      <c r="A411" s="22" t="n">
        <v>338</v>
      </c>
      <c r="B411" s="20" t="n">
        <v>20.02</v>
      </c>
      <c r="D411" s="22" t="n">
        <v>338</v>
      </c>
      <c r="E411" s="20" t="n">
        <v>21.56</v>
      </c>
      <c r="G411" s="22" t="n">
        <v>338</v>
      </c>
      <c r="H411" s="20" t="n">
        <v>21.56</v>
      </c>
    </row>
    <row r="412" customFormat="false" ht="15" hidden="false" customHeight="false" outlineLevel="0" collapsed="false">
      <c r="A412" s="22" t="n">
        <v>340</v>
      </c>
      <c r="B412" s="20" t="n">
        <v>20.02</v>
      </c>
      <c r="D412" s="22" t="n">
        <v>340</v>
      </c>
      <c r="E412" s="20" t="n">
        <v>21.56</v>
      </c>
      <c r="G412" s="22" t="n">
        <v>340</v>
      </c>
      <c r="H412" s="20" t="n">
        <v>21.56</v>
      </c>
    </row>
    <row r="413" customFormat="false" ht="15" hidden="false" customHeight="false" outlineLevel="0" collapsed="false">
      <c r="A413" s="22" t="n">
        <v>342</v>
      </c>
      <c r="B413" s="20" t="n">
        <v>20.28</v>
      </c>
      <c r="D413" s="22" t="n">
        <v>342</v>
      </c>
      <c r="E413" s="20" t="n">
        <v>21.84</v>
      </c>
      <c r="G413" s="22" t="n">
        <v>342</v>
      </c>
      <c r="H413" s="20" t="n">
        <v>21.84</v>
      </c>
    </row>
    <row r="414" customFormat="false" ht="15" hidden="false" customHeight="false" outlineLevel="0" collapsed="false">
      <c r="A414" s="22" t="n">
        <v>344</v>
      </c>
      <c r="B414" s="20" t="n">
        <v>20.28</v>
      </c>
      <c r="D414" s="22" t="n">
        <v>344</v>
      </c>
      <c r="E414" s="20" t="n">
        <v>21.84</v>
      </c>
      <c r="G414" s="22" t="n">
        <v>344</v>
      </c>
      <c r="H414" s="20" t="n">
        <v>21.84</v>
      </c>
    </row>
    <row r="415" customFormat="false" ht="15" hidden="false" customHeight="false" outlineLevel="0" collapsed="false">
      <c r="A415" s="22" t="n">
        <v>346</v>
      </c>
      <c r="B415" s="20" t="n">
        <v>20.54</v>
      </c>
      <c r="D415" s="22" t="n">
        <v>346</v>
      </c>
      <c r="E415" s="20" t="n">
        <v>22.12</v>
      </c>
      <c r="G415" s="22" t="n">
        <v>346</v>
      </c>
      <c r="H415" s="20" t="n">
        <v>22.12</v>
      </c>
    </row>
    <row r="416" customFormat="false" ht="15" hidden="false" customHeight="false" outlineLevel="0" collapsed="false">
      <c r="A416" s="22" t="n">
        <v>348</v>
      </c>
      <c r="B416" s="20" t="n">
        <v>20.54</v>
      </c>
      <c r="D416" s="22" t="n">
        <v>348</v>
      </c>
      <c r="E416" s="20" t="n">
        <v>22.12</v>
      </c>
      <c r="G416" s="22" t="n">
        <v>348</v>
      </c>
      <c r="H416" s="20" t="n">
        <v>22.12</v>
      </c>
    </row>
    <row r="417" customFormat="false" ht="15" hidden="false" customHeight="false" outlineLevel="0" collapsed="false">
      <c r="A417" s="22" t="n">
        <v>350</v>
      </c>
      <c r="B417" s="20" t="n">
        <v>20.8</v>
      </c>
      <c r="D417" s="22" t="n">
        <v>350</v>
      </c>
      <c r="E417" s="20" t="n">
        <v>22.4</v>
      </c>
      <c r="G417" s="22" t="n">
        <v>350</v>
      </c>
      <c r="H417" s="20" t="n">
        <v>22.4</v>
      </c>
    </row>
  </sheetData>
  <mergeCells count="25">
    <mergeCell ref="A1:I1"/>
    <mergeCell ref="A2:I2"/>
    <mergeCell ref="C5:I5"/>
    <mergeCell ref="K7:L7"/>
    <mergeCell ref="A24:I24"/>
    <mergeCell ref="A25:I25"/>
    <mergeCell ref="A37:I37"/>
    <mergeCell ref="A45:I45"/>
    <mergeCell ref="A53:I53"/>
    <mergeCell ref="A64:I64"/>
    <mergeCell ref="A65:I65"/>
    <mergeCell ref="A84:I84"/>
    <mergeCell ref="A86:B86"/>
    <mergeCell ref="D86:E86"/>
    <mergeCell ref="G86:H86"/>
    <mergeCell ref="A87:B87"/>
    <mergeCell ref="D87:E87"/>
    <mergeCell ref="G87:H87"/>
    <mergeCell ref="A251:I251"/>
    <mergeCell ref="A253:B253"/>
    <mergeCell ref="D253:E253"/>
    <mergeCell ref="G253:H253"/>
    <mergeCell ref="A254:B254"/>
    <mergeCell ref="D254:E254"/>
    <mergeCell ref="G254:H2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2026-04-17T05:58:01Z</dcterms:created>
  <dc:creator>openpyxl</dc:creator>
  <dc:description/>
  <dc:language>en-US</dc:language>
  <cp:lastModifiedBy/>
  <dcterms:modified xsi:type="dcterms:W3CDTF">2026-04-17T23:56:36Z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